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S:\MTech\DataScience\DataScienceLaboratory\datascience-learning\Dashboard\"/>
    </mc:Choice>
  </mc:AlternateContent>
  <xr:revisionPtr revIDLastSave="0" documentId="13_ncr:1_{1C1AA62A-3E72-4FF8-8E93-4602D5070984}" xr6:coauthVersionLast="47" xr6:coauthVersionMax="47" xr10:uidLastSave="{00000000-0000-0000-0000-000000000000}"/>
  <bookViews>
    <workbookView xWindow="-108" yWindow="-108" windowWidth="23256" windowHeight="12576" activeTab="1" xr2:uid="{CBC904E3-1CF9-48FB-AF21-0991B6968B41}"/>
  </bookViews>
  <sheets>
    <sheet name="Pivot Tables" sheetId="2" r:id="rId1"/>
    <sheet name="Dashboard" sheetId="3" r:id="rId2"/>
    <sheet name="Sheet1" sheetId="1"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 i="1" l="1"/>
  <c r="K9" i="1"/>
  <c r="K5" i="1"/>
  <c r="K3" i="1"/>
  <c r="I2" i="1"/>
  <c r="I50" i="1"/>
  <c r="I51" i="1"/>
  <c r="I39" i="1"/>
  <c r="I40" i="1"/>
  <c r="I41" i="1"/>
  <c r="I42" i="1"/>
  <c r="I43" i="1"/>
  <c r="I44" i="1"/>
  <c r="I45" i="1"/>
  <c r="I46" i="1"/>
  <c r="I47" i="1"/>
  <c r="I48" i="1"/>
  <c r="I49" i="1"/>
  <c r="I29" i="1"/>
  <c r="I30" i="1"/>
  <c r="I31" i="1"/>
  <c r="I32" i="1"/>
  <c r="I33" i="1"/>
  <c r="I34" i="1"/>
  <c r="I35" i="1"/>
  <c r="I36" i="1"/>
  <c r="I37" i="1"/>
  <c r="I38" i="1"/>
  <c r="I21" i="1"/>
  <c r="I22" i="1"/>
  <c r="I23" i="1"/>
  <c r="I24" i="1"/>
  <c r="I25" i="1"/>
  <c r="I26" i="1"/>
  <c r="I27" i="1"/>
  <c r="I28" i="1"/>
  <c r="I11" i="1"/>
  <c r="I12" i="1"/>
  <c r="I13" i="1"/>
  <c r="I14" i="1"/>
  <c r="I15" i="1"/>
  <c r="I16" i="1"/>
  <c r="I17" i="1"/>
  <c r="I18" i="1"/>
  <c r="I19" i="1"/>
  <c r="I20" i="1"/>
  <c r="I3" i="1"/>
  <c r="I4" i="1"/>
  <c r="I5" i="1"/>
  <c r="I6" i="1"/>
  <c r="I7" i="1"/>
  <c r="I8" i="1"/>
  <c r="I9" i="1"/>
  <c r="I10" i="1"/>
</calcChain>
</file>

<file path=xl/sharedStrings.xml><?xml version="1.0" encoding="utf-8"?>
<sst xmlns="http://schemas.openxmlformats.org/spreadsheetml/2006/main" count="225" uniqueCount="62">
  <si>
    <t>Date</t>
  </si>
  <si>
    <t>Sales Person</t>
  </si>
  <si>
    <t>Region</t>
  </si>
  <si>
    <t>Product</t>
  </si>
  <si>
    <t>Units Sold</t>
  </si>
  <si>
    <t>Unit Price</t>
  </si>
  <si>
    <t>Cost of Goods</t>
  </si>
  <si>
    <t>Total Sales</t>
  </si>
  <si>
    <t>2/19/2021</t>
  </si>
  <si>
    <t>Andrew</t>
  </si>
  <si>
    <t>West</t>
  </si>
  <si>
    <t>Tent</t>
  </si>
  <si>
    <t>Grace</t>
  </si>
  <si>
    <t>East</t>
  </si>
  <si>
    <t>Blender</t>
  </si>
  <si>
    <t>Ella</t>
  </si>
  <si>
    <t>South</t>
  </si>
  <si>
    <t>Action Figure</t>
  </si>
  <si>
    <t>Cameron</t>
  </si>
  <si>
    <t>North</t>
  </si>
  <si>
    <t>Novel</t>
  </si>
  <si>
    <t>9/23/2021</t>
  </si>
  <si>
    <t>Megan</t>
  </si>
  <si>
    <t>Sneakers</t>
  </si>
  <si>
    <t>Carolyn</t>
  </si>
  <si>
    <t>Virginia</t>
  </si>
  <si>
    <t>Connor</t>
  </si>
  <si>
    <t>1/27/2021</t>
  </si>
  <si>
    <t>Anna</t>
  </si>
  <si>
    <t>Moisturizer</t>
  </si>
  <si>
    <t>Nicholas</t>
  </si>
  <si>
    <t>9/30/2021</t>
  </si>
  <si>
    <t>7/27/2021</t>
  </si>
  <si>
    <t>6/15/2021</t>
  </si>
  <si>
    <t>8/13/2021</t>
  </si>
  <si>
    <t>8/27/2020</t>
  </si>
  <si>
    <t>Smartphone</t>
  </si>
  <si>
    <t>12/21/2021</t>
  </si>
  <si>
    <t>8/30/2021</t>
  </si>
  <si>
    <t>5/20/2020</t>
  </si>
  <si>
    <t>9/13/2021</t>
  </si>
  <si>
    <t>10/27/2021</t>
  </si>
  <si>
    <t>12/22/2020</t>
  </si>
  <si>
    <t>7/28/2021</t>
  </si>
  <si>
    <t>9/29/2020</t>
  </si>
  <si>
    <t>10/22/2020</t>
  </si>
  <si>
    <t>5/19/2020</t>
  </si>
  <si>
    <t>8/26/2020</t>
  </si>
  <si>
    <t>4/13/2021</t>
  </si>
  <si>
    <t>1/15/2021</t>
  </si>
  <si>
    <t>11/17/2021</t>
  </si>
  <si>
    <t>12/28/2020</t>
  </si>
  <si>
    <t>Profit</t>
  </si>
  <si>
    <t>GrandTotal</t>
  </si>
  <si>
    <t>UnitSold</t>
  </si>
  <si>
    <t>TotalProfit</t>
  </si>
  <si>
    <t>AverageSales</t>
  </si>
  <si>
    <t>Row Labels</t>
  </si>
  <si>
    <t>Grand Total</t>
  </si>
  <si>
    <t>Sum of Total Sales</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</si>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</sst>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164" formatCode="#,##0_ ;\-#,##0\ "/>
    <numFmt numFmtId="165" formatCode="##\.##,\ &quot;L&quot;"/>
    <numFmt numFmtId="166" formatCode="&quot;₹&quot;\ #\.##,\ &quot;L&quot;"/>
  </numFmts>
  <fonts count="4" x14ac:knownFonts="1">
    <font>
      <sz val="11"/>
      <color theme="1"/>
      <name val="Calibri"/>
      <family val="2"/>
      <scheme val="minor"/>
    </font>
    <font>
      <sz val="11"/>
      <color rgb="FFFFFFFF"/>
      <name val="Aptos Narrow"/>
      <family val="2"/>
    </font>
    <font>
      <sz val="11"/>
      <color theme="1"/>
      <name val="Aptos Narrow"/>
      <family val="2"/>
    </font>
    <font>
      <u/>
      <sz val="11"/>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bottom style="thick">
        <color rgb="FFFFC000"/>
      </bottom>
      <diagonal/>
    </border>
    <border>
      <left style="medium">
        <color rgb="FFCCCCCC"/>
      </left>
      <right style="medium">
        <color rgb="FFCCCCCC"/>
      </right>
      <top/>
      <bottom style="thick">
        <color rgb="FFFFC000"/>
      </bottom>
      <diagonal/>
    </border>
  </borders>
  <cellStyleXfs count="1">
    <xf numFmtId="0" fontId="0" fillId="0" borderId="0"/>
  </cellStyleXfs>
  <cellXfs count="20">
    <xf numFmtId="0" fontId="0" fillId="0" borderId="0" xfId="0"/>
    <xf numFmtId="0" fontId="2" fillId="0" borderId="1" xfId="0" applyFont="1" applyBorder="1" applyAlignment="1">
      <alignment wrapText="1"/>
    </xf>
    <xf numFmtId="2" fontId="0" fillId="0" borderId="0" xfId="0" applyNumberFormat="1"/>
    <xf numFmtId="5" fontId="2" fillId="0" borderId="1" xfId="0" applyNumberFormat="1" applyFont="1" applyBorder="1" applyAlignment="1">
      <alignment horizontal="right" wrapText="1"/>
    </xf>
    <xf numFmtId="5" fontId="0" fillId="0" borderId="0" xfId="0" applyNumberFormat="1"/>
    <xf numFmtId="1" fontId="2" fillId="0" borderId="1" xfId="0" applyNumberFormat="1" applyFont="1" applyBorder="1" applyAlignment="1">
      <alignment wrapText="1"/>
    </xf>
    <xf numFmtId="164" fontId="2" fillId="0" borderId="1" xfId="0" applyNumberFormat="1" applyFont="1" applyBorder="1" applyAlignment="1">
      <alignment horizontal="right" wrapText="1"/>
    </xf>
    <xf numFmtId="164" fontId="0" fillId="0" borderId="0" xfId="0" applyNumberFormat="1"/>
    <xf numFmtId="164" fontId="3" fillId="0" borderId="0" xfId="0" applyNumberFormat="1" applyFont="1"/>
    <xf numFmtId="0" fontId="2" fillId="0" borderId="2" xfId="0" applyFont="1" applyBorder="1" applyAlignment="1">
      <alignment horizontal="center" wrapText="1"/>
    </xf>
    <xf numFmtId="14" fontId="2" fillId="0" borderId="2" xfId="0" applyNumberFormat="1" applyFont="1" applyBorder="1" applyAlignment="1">
      <alignment horizont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5" fontId="1" fillId="2" borderId="4"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3" fontId="0" fillId="0" borderId="0" xfId="0" applyNumberFormat="1"/>
    <xf numFmtId="0" fontId="0" fillId="0" borderId="0" xfId="0" applyBorder="1"/>
  </cellXfs>
  <cellStyles count="1">
    <cellStyle name="Normal" xfId="0" builtinId="0"/>
  </cellStyles>
  <dxfs count="13">
    <dxf>
      <numFmt numFmtId="2" formatCode="0.00"/>
    </dxf>
    <dxf>
      <font>
        <b val="0"/>
        <i val="0"/>
        <strike val="0"/>
        <condense val="0"/>
        <extend val="0"/>
        <outline val="0"/>
        <shadow val="0"/>
        <u val="none"/>
        <vertAlign val="baseline"/>
        <sz val="11"/>
        <color theme="1"/>
        <name val="Aptos Narrow"/>
        <family val="2"/>
        <scheme val="none"/>
      </font>
      <numFmt numFmtId="9" formatCode="&quot;₹&quot;\ #,##0;&quot;₹&quot;\ \-#,##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numFmt numFmtId="9" formatCode="&quot;₹&quot;\ #,##0;&quot;₹&quot;\ \-#,##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numFmt numFmtId="9" formatCode="&quot;₹&quot;\ #,##0;&quot;₹&quot;\ \-#,##0"/>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top style="medium">
          <color rgb="FFCCCCCC"/>
        </top>
      </border>
    </dxf>
    <dxf>
      <font>
        <b val="0"/>
        <i val="0"/>
        <strike val="0"/>
        <condense val="0"/>
        <extend val="0"/>
        <outline val="0"/>
        <shadow val="0"/>
        <u val="none"/>
        <vertAlign val="baseline"/>
        <sz val="11"/>
        <color theme="1"/>
        <name val="Aptos Narrow"/>
        <family val="2"/>
        <scheme val="none"/>
      </font>
      <alignment horizontal="right" vertical="bottom" textRotation="0" wrapText="1" indent="0" justifyLastLine="0" shrinkToFit="0" readingOrder="0"/>
    </dxf>
    <dxf>
      <border outline="0">
        <bottom style="thick">
          <color rgb="FFFFC000"/>
        </bottom>
      </border>
    </dxf>
    <dxf>
      <font>
        <b val="0"/>
        <i val="0"/>
        <strike val="0"/>
        <condense val="0"/>
        <extend val="0"/>
        <outline val="0"/>
        <shadow val="0"/>
        <u val="none"/>
        <vertAlign val="baseline"/>
        <sz val="11"/>
        <color rgb="FFFFFFFF"/>
        <name val="Aptos Narrow"/>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8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8"/>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03-4692-A98F-B2D66AA0FB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03-4692-A98F-B2D66AA0FB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03-4692-A98F-B2D66AA0FB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03-4692-A98F-B2D66AA0FB4E}"/>
              </c:ext>
            </c:extLst>
          </c:dPt>
          <c:dLbls>
            <c:dLbl>
              <c:idx val="0"/>
              <c:layout>
                <c:manualLayout>
                  <c:x val="0.1166666666666666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03-4692-A98F-B2D66AA0FB4E}"/>
                </c:ext>
              </c:extLst>
            </c:dLbl>
            <c:dLbl>
              <c:idx val="1"/>
              <c:layout>
                <c:manualLayout>
                  <c:x val="0.1166666666666666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03-4692-A98F-B2D66AA0FB4E}"/>
                </c:ext>
              </c:extLst>
            </c:dLbl>
            <c:dLbl>
              <c:idx val="2"/>
              <c:layout>
                <c:manualLayout>
                  <c:x val="-0.1277777777777778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03-4692-A98F-B2D66AA0FB4E}"/>
                </c:ext>
              </c:extLst>
            </c:dLbl>
            <c:dLbl>
              <c:idx val="3"/>
              <c:layout>
                <c:manualLayout>
                  <c:x val="-0.1027777777777778"/>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03-4692-A98F-B2D66AA0FB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Tables'!$G$4:$G$8</c:f>
              <c:strCache>
                <c:ptCount val="4"/>
                <c:pt idx="0">
                  <c:v>East</c:v>
                </c:pt>
                <c:pt idx="1">
                  <c:v>North</c:v>
                </c:pt>
                <c:pt idx="2">
                  <c:v>South</c:v>
                </c:pt>
                <c:pt idx="3">
                  <c:v>West</c:v>
                </c:pt>
              </c:strCache>
            </c:strRef>
          </c:cat>
          <c:val>
            <c:numRef>
              <c:f>'Pivot Tables'!$H$4:$H$8</c:f>
              <c:numCache>
                <c:formatCode>"₹"\ #\.##,\ "L"</c:formatCode>
                <c:ptCount val="4"/>
                <c:pt idx="0">
                  <c:v>3534400</c:v>
                </c:pt>
                <c:pt idx="1">
                  <c:v>2661400</c:v>
                </c:pt>
                <c:pt idx="2">
                  <c:v>2870600</c:v>
                </c:pt>
                <c:pt idx="3">
                  <c:v>3878100</c:v>
                </c:pt>
              </c:numCache>
            </c:numRef>
          </c:val>
          <c:extLst>
            <c:ext xmlns:c16="http://schemas.microsoft.com/office/drawing/2014/chart" uri="{C3380CC4-5D6E-409C-BE32-E72D297353CC}">
              <c16:uniqueId val="{00000000-4A19-46F1-89F5-21B6C049A948}"/>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a:noFill/>
          </a:ln>
          <a:effectLst/>
        </c:spPr>
      </c:pivotFmt>
      <c:pivotFmt>
        <c:idx val="7"/>
      </c:pivotFmt>
    </c:pivotFmts>
    <c:plotArea>
      <c:layout/>
      <c:barChart>
        <c:barDir val="bar"/>
        <c:grouping val="stack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Tables'!$A$4:$A$5</c:f>
              <c:strCache>
                <c:ptCount val="1"/>
                <c:pt idx="0">
                  <c:v>Sneakers</c:v>
                </c:pt>
              </c:strCache>
            </c:strRef>
          </c:cat>
          <c:val>
            <c:numRef>
              <c:f>'Pivot Tables'!$B$4:$B$5</c:f>
              <c:numCache>
                <c:formatCode>##\.##,\ "L"</c:formatCode>
                <c:ptCount val="1"/>
                <c:pt idx="0">
                  <c:v>372000</c:v>
                </c:pt>
              </c:numCache>
            </c:numRef>
          </c:val>
          <c:extLst>
            <c:ext xmlns:c16="http://schemas.microsoft.com/office/drawing/2014/chart" uri="{C3380CC4-5D6E-409C-BE32-E72D297353CC}">
              <c16:uniqueId val="{00000000-8DAD-48B8-A0B8-818C56667F45}"/>
            </c:ext>
          </c:extLst>
        </c:ser>
        <c:dLbls>
          <c:dLblPos val="inEnd"/>
          <c:showLegendKey val="0"/>
          <c:showVal val="1"/>
          <c:showCatName val="0"/>
          <c:showSerName val="0"/>
          <c:showPercent val="0"/>
          <c:showBubbleSize val="0"/>
        </c:dLbls>
        <c:gapWidth val="68"/>
        <c:overlap val="100"/>
        <c:axId val="1840035775"/>
        <c:axId val="1711047519"/>
      </c:barChart>
      <c:catAx>
        <c:axId val="184003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a:softEdge rad="2159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47519"/>
        <c:crosses val="autoZero"/>
        <c:auto val="1"/>
        <c:lblAlgn val="ctr"/>
        <c:lblOffset val="100"/>
        <c:noMultiLvlLbl val="0"/>
      </c:catAx>
      <c:valAx>
        <c:axId val="1711047519"/>
        <c:scaling>
          <c:orientation val="minMax"/>
        </c:scaling>
        <c:delete val="1"/>
        <c:axPos val="b"/>
        <c:numFmt formatCode="##\.##,\ &quot;L&quot;" sourceLinked="1"/>
        <c:majorTickMark val="out"/>
        <c:minorTickMark val="none"/>
        <c:tickLblPos val="nextTo"/>
        <c:crossAx val="1840035775"/>
        <c:crosses val="autoZero"/>
        <c:crossBetween val="between"/>
      </c:valAx>
      <c:spPr>
        <a:solidFill>
          <a:sysClr val="window" lastClr="FFFFFF"/>
        </a:solidFill>
        <a:ln>
          <a:noFill/>
        </a:ln>
        <a:effectLst>
          <a:glow>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185067526415994E-16"/>
              <c:y val="-0.35478856809565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07156240886555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371245261009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3333333333333332E-3"/>
              <c:y val="-0.16911344415281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23781240886555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8286E-3"/>
              <c:y val="-0.3348060659084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0.32600247885680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3333333333333072E-3"/>
              <c:y val="-0.38502150772820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65024059492563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328141586468358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84558180227471E-2"/>
          <c:y val="4.1666666666666664E-2"/>
          <c:w val="0.93888888888888888"/>
          <c:h val="0.8416746864975212"/>
        </c:manualLayout>
      </c:layout>
      <c:barChart>
        <c:barDir val="col"/>
        <c:grouping val="stacked"/>
        <c:varyColors val="0"/>
        <c:ser>
          <c:idx val="0"/>
          <c:order val="0"/>
          <c:tx>
            <c:strRef>
              <c:f>'Pivot Tables'!$E$3</c:f>
              <c:strCache>
                <c:ptCount val="1"/>
                <c:pt idx="0">
                  <c:v>Total</c:v>
                </c:pt>
              </c:strCache>
            </c:strRef>
          </c:tx>
          <c:spPr>
            <a:solidFill>
              <a:schemeClr val="accent1"/>
            </a:solidFill>
            <a:ln>
              <a:noFill/>
            </a:ln>
            <a:effectLst/>
          </c:spPr>
          <c:invertIfNegative val="0"/>
          <c:dLbls>
            <c:dLbl>
              <c:idx val="0"/>
              <c:layout>
                <c:manualLayout>
                  <c:x val="0"/>
                  <c:y val="-0.328141586468358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70C-4C87-B310-14691377F711}"/>
                </c:ext>
              </c:extLst>
            </c:dLbl>
            <c:dLbl>
              <c:idx val="1"/>
              <c:layout>
                <c:manualLayout>
                  <c:x val="0"/>
                  <c:y val="-0.165024059492563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70C-4C87-B310-14691377F711}"/>
                </c:ext>
              </c:extLst>
            </c:dLbl>
            <c:dLbl>
              <c:idx val="2"/>
              <c:layout>
                <c:manualLayout>
                  <c:x val="-8.3333333333333072E-3"/>
                  <c:y val="-0.385021507728200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0C-4C87-B310-14691377F711}"/>
                </c:ext>
              </c:extLst>
            </c:dLbl>
            <c:dLbl>
              <c:idx val="3"/>
              <c:layout>
                <c:manualLayout>
                  <c:x val="2.7777777777777779E-3"/>
                  <c:y val="-0.32600247885680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0C-4C87-B310-14691377F711}"/>
                </c:ext>
              </c:extLst>
            </c:dLbl>
            <c:dLbl>
              <c:idx val="4"/>
              <c:layout>
                <c:manualLayout>
                  <c:x val="-2.7777777777778286E-3"/>
                  <c:y val="-0.33480606590842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0C-4C87-B310-14691377F711}"/>
                </c:ext>
              </c:extLst>
            </c:dLbl>
            <c:dLbl>
              <c:idx val="5"/>
              <c:layout>
                <c:manualLayout>
                  <c:x val="-2.7777777777777779E-3"/>
                  <c:y val="-0.237812408865558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0C-4C87-B310-14691377F711}"/>
                </c:ext>
              </c:extLst>
            </c:dLbl>
            <c:dLbl>
              <c:idx val="6"/>
              <c:layout>
                <c:manualLayout>
                  <c:x val="-1.0185067526415994E-16"/>
                  <c:y val="-0.35478856809565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0C-4C87-B310-14691377F711}"/>
                </c:ext>
              </c:extLst>
            </c:dLbl>
            <c:dLbl>
              <c:idx val="7"/>
              <c:layout>
                <c:manualLayout>
                  <c:x val="0"/>
                  <c:y val="-0.207156240886555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0C-4C87-B310-14691377F711}"/>
                </c:ext>
              </c:extLst>
            </c:dLbl>
            <c:dLbl>
              <c:idx val="8"/>
              <c:layout>
                <c:manualLayout>
                  <c:x val="-8.3333333333333332E-3"/>
                  <c:y val="-0.169113444152814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0C-4C87-B310-14691377F711}"/>
                </c:ext>
              </c:extLst>
            </c:dLbl>
            <c:dLbl>
              <c:idx val="9"/>
              <c:layout>
                <c:manualLayout>
                  <c:x val="0"/>
                  <c:y val="-0.14371245261009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0C-4C87-B310-14691377F7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Tables'!$D$4:$D$14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Tables'!$E$4:$E$14</c:f>
              <c:numCache>
                <c:formatCode>"₹"\ #\.##,\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F70C-4C87-B310-14691377F711}"/>
            </c:ext>
          </c:extLst>
        </c:ser>
        <c:dLbls>
          <c:showLegendKey val="0"/>
          <c:showVal val="0"/>
          <c:showCatName val="0"/>
          <c:showSerName val="0"/>
          <c:showPercent val="0"/>
          <c:showBubbleSize val="0"/>
        </c:dLbls>
        <c:gapWidth val="86"/>
        <c:overlap val="100"/>
        <c:axId val="1706674303"/>
        <c:axId val="1777565951"/>
      </c:barChart>
      <c:catAx>
        <c:axId val="17066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65951"/>
        <c:crosses val="autoZero"/>
        <c:auto val="1"/>
        <c:lblAlgn val="ctr"/>
        <c:lblOffset val="100"/>
        <c:noMultiLvlLbl val="0"/>
      </c:catAx>
      <c:valAx>
        <c:axId val="1777565951"/>
        <c:scaling>
          <c:orientation val="minMax"/>
        </c:scaling>
        <c:delete val="1"/>
        <c:axPos val="l"/>
        <c:numFmt formatCode="&quot;₹&quot;\ #\.##,\ &quot;L&quot;" sourceLinked="1"/>
        <c:majorTickMark val="none"/>
        <c:minorTickMark val="none"/>
        <c:tickLblPos val="nextTo"/>
        <c:crossAx val="17066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Tables!PivotTable4</c:name>
    <c:fmtId val="12"/>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0925925925925923E-2"/>
          <c:w val="0.93888888888888888"/>
          <c:h val="0.79081802274715662"/>
        </c:manualLayout>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Tables'!$J$4:$J$11</c:f>
              <c:strCache>
                <c:ptCount val="7"/>
                <c:pt idx="0">
                  <c:v>Action Figure</c:v>
                </c:pt>
                <c:pt idx="1">
                  <c:v>Blender</c:v>
                </c:pt>
                <c:pt idx="2">
                  <c:v>Moisturizer</c:v>
                </c:pt>
                <c:pt idx="3">
                  <c:v>Novel</c:v>
                </c:pt>
                <c:pt idx="4">
                  <c:v>Smartphone</c:v>
                </c:pt>
                <c:pt idx="5">
                  <c:v>Sneakers</c:v>
                </c:pt>
                <c:pt idx="6">
                  <c:v>Tent</c:v>
                </c:pt>
              </c:strCache>
            </c:strRef>
          </c:cat>
          <c:val>
            <c:numRef>
              <c:f>'Pivot Tables'!$K$4:$K$11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EDCD-499A-8F71-780B6137DB7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9645983"/>
        <c:axId val="1859646463"/>
      </c:lineChart>
      <c:catAx>
        <c:axId val="1859645983"/>
        <c:scaling>
          <c:orientation val="minMax"/>
        </c:scaling>
        <c:delete val="0"/>
        <c:axPos val="b"/>
        <c:numFmt formatCode="General" sourceLinked="1"/>
        <c:majorTickMark val="none"/>
        <c:minorTickMark val="none"/>
        <c:tickLblPos val="low"/>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crossAx val="1859646463"/>
        <c:crosses val="autoZero"/>
        <c:auto val="1"/>
        <c:lblAlgn val="ctr"/>
        <c:lblOffset val="100"/>
        <c:tickMarkSkip val="10"/>
        <c:noMultiLvlLbl val="0"/>
      </c:catAx>
      <c:valAx>
        <c:axId val="1859646463"/>
        <c:scaling>
          <c:orientation val="minMax"/>
        </c:scaling>
        <c:delete val="1"/>
        <c:axPos val="l"/>
        <c:numFmt formatCode="General" sourceLinked="1"/>
        <c:majorTickMark val="none"/>
        <c:minorTickMark val="none"/>
        <c:tickLblPos val="nextTo"/>
        <c:crossAx val="18596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[SalesInformation.xlsx]Pivot Tables!PivotTable4</c:name>
    <c:fmtId val="18"/>
  </c:pivotSource>
  <c:chart>
    <c:autoTitleDeleted val="1"/>
    <c:pivotFmts>
      <c:pivotFmt>
        <c:idx val="0"/>
        <c:spPr>
          <a:pattFill prst="ltUpDiag">
            <a:fgClr>
              <a:schemeClr val="dk1">
                <a:tint val="88500"/>
              </a:schemeClr>
            </a:fgClr>
            <a:bgClr>
              <a:schemeClr val="lt1"/>
            </a:bgClr>
          </a:pattFill>
          <a:ln>
            <a:noFill/>
          </a:ln>
          <a:effectLst>
            <a:outerShdw dist="25400" dir="2700000" algn="tl" rotWithShape="0">
              <a:schemeClr val="accent1"/>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a:outerShdw dist="25400" dir="2700000" algn="tl" rotWithShape="0">
              <a:schemeClr val="accent1"/>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0925925925925923E-2"/>
          <c:w val="0.93888888888888888"/>
          <c:h val="0.79081802274715662"/>
        </c:manualLayout>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Tables'!$J$4:$J$11</c:f>
              <c:strCache>
                <c:ptCount val="7"/>
                <c:pt idx="0">
                  <c:v>Action Figure</c:v>
                </c:pt>
                <c:pt idx="1">
                  <c:v>Blender</c:v>
                </c:pt>
                <c:pt idx="2">
                  <c:v>Moisturizer</c:v>
                </c:pt>
                <c:pt idx="3">
                  <c:v>Novel</c:v>
                </c:pt>
                <c:pt idx="4">
                  <c:v>Smartphone</c:v>
                </c:pt>
                <c:pt idx="5">
                  <c:v>Sneakers</c:v>
                </c:pt>
                <c:pt idx="6">
                  <c:v>Tent</c:v>
                </c:pt>
              </c:strCache>
            </c:strRef>
          </c:cat>
          <c:val>
            <c:numRef>
              <c:f>'Pivot Tables'!$K$4:$K$11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07BD-4F54-A6C3-C92E1360219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59645983"/>
        <c:axId val="1859646463"/>
      </c:lineChart>
      <c:catAx>
        <c:axId val="1859645983"/>
        <c:scaling>
          <c:orientation val="minMax"/>
        </c:scaling>
        <c:delete val="0"/>
        <c:axPos val="b"/>
        <c:numFmt formatCode="General" sourceLinked="1"/>
        <c:majorTickMark val="none"/>
        <c:minorTickMark val="none"/>
        <c:tickLblPos val="low"/>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solidFill>
                <a:effectLst>
                  <a:outerShdw blurRad="50800" dist="38100" dir="2700000" algn="tl" rotWithShape="0">
                    <a:prstClr val="black">
                      <a:alpha val="40000"/>
                    </a:prstClr>
                  </a:outerShdw>
                </a:effectLst>
                <a:latin typeface="+mn-lt"/>
                <a:ea typeface="+mn-ea"/>
                <a:cs typeface="+mn-cs"/>
              </a:defRPr>
            </a:pPr>
            <a:endParaRPr lang="en-US"/>
          </a:p>
        </c:txPr>
        <c:crossAx val="1859646463"/>
        <c:crosses val="autoZero"/>
        <c:auto val="1"/>
        <c:lblAlgn val="ctr"/>
        <c:lblOffset val="100"/>
        <c:tickMarkSkip val="10"/>
        <c:noMultiLvlLbl val="0"/>
      </c:catAx>
      <c:valAx>
        <c:axId val="1859646463"/>
        <c:scaling>
          <c:orientation val="minMax"/>
        </c:scaling>
        <c:delete val="1"/>
        <c:axPos val="l"/>
        <c:numFmt formatCode="General" sourceLinked="1"/>
        <c:majorTickMark val="none"/>
        <c:minorTickMark val="none"/>
        <c:tickLblPos val="nextTo"/>
        <c:crossAx val="185964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8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27777777777778"/>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7777777777778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27777777777778"/>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66666666666666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66666666666666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77777777777778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27777777777778"/>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4B-4BE1-895D-6DE586030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4B-4BE1-895D-6DE5860306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4B-4BE1-895D-6DE5860306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4B-4BE1-895D-6DE58603066D}"/>
              </c:ext>
            </c:extLst>
          </c:dPt>
          <c:dLbls>
            <c:dLbl>
              <c:idx val="0"/>
              <c:layout>
                <c:manualLayout>
                  <c:x val="0.1166666666666666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4B-4BE1-895D-6DE58603066D}"/>
                </c:ext>
              </c:extLst>
            </c:dLbl>
            <c:dLbl>
              <c:idx val="1"/>
              <c:layout>
                <c:manualLayout>
                  <c:x val="0.11666666666666667"/>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4B-4BE1-895D-6DE58603066D}"/>
                </c:ext>
              </c:extLst>
            </c:dLbl>
            <c:dLbl>
              <c:idx val="2"/>
              <c:layout>
                <c:manualLayout>
                  <c:x val="-0.12777777777777782"/>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4B-4BE1-895D-6DE58603066D}"/>
                </c:ext>
              </c:extLst>
            </c:dLbl>
            <c:dLbl>
              <c:idx val="3"/>
              <c:layout>
                <c:manualLayout>
                  <c:x val="-0.1027777777777778"/>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4B-4BE1-895D-6DE5860306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Tables'!$G$4:$G$8</c:f>
              <c:strCache>
                <c:ptCount val="4"/>
                <c:pt idx="0">
                  <c:v>East</c:v>
                </c:pt>
                <c:pt idx="1">
                  <c:v>North</c:v>
                </c:pt>
                <c:pt idx="2">
                  <c:v>South</c:v>
                </c:pt>
                <c:pt idx="3">
                  <c:v>West</c:v>
                </c:pt>
              </c:strCache>
            </c:strRef>
          </c:cat>
          <c:val>
            <c:numRef>
              <c:f>'Pivot Tables'!$H$4:$H$8</c:f>
              <c:numCache>
                <c:formatCode>"₹"\ #\.##,\ "L"</c:formatCode>
                <c:ptCount val="4"/>
                <c:pt idx="0">
                  <c:v>3534400</c:v>
                </c:pt>
                <c:pt idx="1">
                  <c:v>2661400</c:v>
                </c:pt>
                <c:pt idx="2">
                  <c:v>2870600</c:v>
                </c:pt>
                <c:pt idx="3">
                  <c:v>3878100</c:v>
                </c:pt>
              </c:numCache>
            </c:numRef>
          </c:val>
          <c:extLst>
            <c:ext xmlns:c16="http://schemas.microsoft.com/office/drawing/2014/chart" uri="{C3380CC4-5D6E-409C-BE32-E72D297353CC}">
              <c16:uniqueId val="{00000008-9E4B-4BE1-895D-6DE58603066D}"/>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185067526415994E-16"/>
              <c:y val="-0.35478856809565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07156240886555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371245261009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3333333333333332E-3"/>
              <c:y val="-0.16911344415281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7779E-3"/>
              <c:y val="-0.23781240886555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8286E-3"/>
              <c:y val="-0.3348060659084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0.32600247885680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3333333333333072E-3"/>
              <c:y val="-0.38502150772820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65024059492563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328141586468358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328141586468358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65024059492563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333333333333072E-3"/>
              <c:y val="-0.38502150772820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7777777777777779E-3"/>
              <c:y val="-0.32600247885680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8286E-3"/>
              <c:y val="-0.3348060659084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7779E-3"/>
              <c:y val="-0.23781240886555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0185067526415994E-16"/>
              <c:y val="-0.35478856809565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207156240886555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3333333333333332E-3"/>
              <c:y val="-0.16911344415281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
              <c:y val="-0.14371245261009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
              <c:y val="-0.328141586468358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
              <c:y val="-0.165024059492563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8.3333333333333072E-3"/>
              <c:y val="-0.385021507728200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2.7777777777777779E-3"/>
              <c:y val="-0.32600247885680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2.7777777777778286E-3"/>
              <c:y val="-0.33480606590842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2.7777777777777779E-3"/>
              <c:y val="-0.237812408865558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1.0185067526415994E-16"/>
              <c:y val="-0.354788568095654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0"/>
              <c:y val="-0.207156240886555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8.3333333333333332E-3"/>
              <c:y val="-0.169113444152814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0"/>
              <c:y val="-0.14371245261009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84558180227471E-2"/>
          <c:y val="4.1666666666666664E-2"/>
          <c:w val="0.93888888888888888"/>
          <c:h val="0.8416746864975212"/>
        </c:manualLayout>
      </c:layout>
      <c:barChart>
        <c:barDir val="col"/>
        <c:grouping val="stacked"/>
        <c:varyColors val="0"/>
        <c:ser>
          <c:idx val="0"/>
          <c:order val="0"/>
          <c:tx>
            <c:strRef>
              <c:f>'Pivot Tables'!$E$3</c:f>
              <c:strCache>
                <c:ptCount val="1"/>
                <c:pt idx="0">
                  <c:v>Total</c:v>
                </c:pt>
              </c:strCache>
            </c:strRef>
          </c:tx>
          <c:spPr>
            <a:solidFill>
              <a:schemeClr val="accent1"/>
            </a:solidFill>
            <a:ln>
              <a:noFill/>
            </a:ln>
            <a:effectLst/>
          </c:spPr>
          <c:invertIfNegative val="0"/>
          <c:dLbls>
            <c:dLbl>
              <c:idx val="0"/>
              <c:layout>
                <c:manualLayout>
                  <c:x val="0"/>
                  <c:y val="-0.328141586468358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D2-438F-8FFE-D40EA8EAA833}"/>
                </c:ext>
              </c:extLst>
            </c:dLbl>
            <c:dLbl>
              <c:idx val="1"/>
              <c:layout>
                <c:manualLayout>
                  <c:x val="0"/>
                  <c:y val="-0.165024059492563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D2-438F-8FFE-D40EA8EAA833}"/>
                </c:ext>
              </c:extLst>
            </c:dLbl>
            <c:dLbl>
              <c:idx val="2"/>
              <c:layout>
                <c:manualLayout>
                  <c:x val="-8.3333333333333072E-3"/>
                  <c:y val="-0.385021507728200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D2-438F-8FFE-D40EA8EAA833}"/>
                </c:ext>
              </c:extLst>
            </c:dLbl>
            <c:dLbl>
              <c:idx val="3"/>
              <c:layout>
                <c:manualLayout>
                  <c:x val="2.7777777777777779E-3"/>
                  <c:y val="-0.32600247885680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D2-438F-8FFE-D40EA8EAA833}"/>
                </c:ext>
              </c:extLst>
            </c:dLbl>
            <c:dLbl>
              <c:idx val="4"/>
              <c:layout>
                <c:manualLayout>
                  <c:x val="-2.7777777777778286E-3"/>
                  <c:y val="-0.33480606590842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D2-438F-8FFE-D40EA8EAA833}"/>
                </c:ext>
              </c:extLst>
            </c:dLbl>
            <c:dLbl>
              <c:idx val="5"/>
              <c:layout>
                <c:manualLayout>
                  <c:x val="-2.7777777777777779E-3"/>
                  <c:y val="-0.237812408865558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D2-438F-8FFE-D40EA8EAA833}"/>
                </c:ext>
              </c:extLst>
            </c:dLbl>
            <c:dLbl>
              <c:idx val="6"/>
              <c:layout>
                <c:manualLayout>
                  <c:x val="-1.0185067526415994E-16"/>
                  <c:y val="-0.354788568095654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D2-438F-8FFE-D40EA8EAA833}"/>
                </c:ext>
              </c:extLst>
            </c:dLbl>
            <c:dLbl>
              <c:idx val="7"/>
              <c:layout>
                <c:manualLayout>
                  <c:x val="0"/>
                  <c:y val="-0.207156240886555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D2-438F-8FFE-D40EA8EAA833}"/>
                </c:ext>
              </c:extLst>
            </c:dLbl>
            <c:dLbl>
              <c:idx val="8"/>
              <c:layout>
                <c:manualLayout>
                  <c:x val="-8.3333333333333332E-3"/>
                  <c:y val="-0.169113444152814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AD2-438F-8FFE-D40EA8EAA833}"/>
                </c:ext>
              </c:extLst>
            </c:dLbl>
            <c:dLbl>
              <c:idx val="9"/>
              <c:layout>
                <c:manualLayout>
                  <c:x val="0"/>
                  <c:y val="-0.143712452610090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AD2-438F-8FFE-D40EA8EAA8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Tables'!$D$4:$D$14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Tables'!$E$4:$E$14</c:f>
              <c:numCache>
                <c:formatCode>"₹"\ #\.##,\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A-AAD2-438F-8FFE-D40EA8EAA833}"/>
            </c:ext>
          </c:extLst>
        </c:ser>
        <c:dLbls>
          <c:showLegendKey val="0"/>
          <c:showVal val="0"/>
          <c:showCatName val="0"/>
          <c:showSerName val="0"/>
          <c:showPercent val="0"/>
          <c:showBubbleSize val="0"/>
        </c:dLbls>
        <c:gapWidth val="86"/>
        <c:overlap val="100"/>
        <c:axId val="1706674303"/>
        <c:axId val="1777565951"/>
      </c:barChart>
      <c:catAx>
        <c:axId val="17066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565951"/>
        <c:crosses val="autoZero"/>
        <c:auto val="1"/>
        <c:lblAlgn val="ctr"/>
        <c:lblOffset val="100"/>
        <c:noMultiLvlLbl val="0"/>
      </c:catAx>
      <c:valAx>
        <c:axId val="1777565951"/>
        <c:scaling>
          <c:orientation val="minMax"/>
        </c:scaling>
        <c:delete val="1"/>
        <c:axPos val="l"/>
        <c:numFmt formatCode="&quot;₹&quot;\ #\.##,\ &quot;L&quot;" sourceLinked="1"/>
        <c:majorTickMark val="none"/>
        <c:minorTickMark val="none"/>
        <c:tickLblPos val="nextTo"/>
        <c:crossAx val="17066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[SalesInformation.xlsx]Pivot Tables!PivotTable1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Tables'!$A$4:$A$5</c:f>
              <c:strCache>
                <c:ptCount val="1"/>
                <c:pt idx="0">
                  <c:v>Sneakers</c:v>
                </c:pt>
              </c:strCache>
            </c:strRef>
          </c:cat>
          <c:val>
            <c:numRef>
              <c:f>'Pivot Tables'!$B$4:$B$5</c:f>
              <c:numCache>
                <c:formatCode>##\.##,\ "L"</c:formatCode>
                <c:ptCount val="1"/>
                <c:pt idx="0">
                  <c:v>372000</c:v>
                </c:pt>
              </c:numCache>
            </c:numRef>
          </c:val>
          <c:extLst>
            <c:ext xmlns:c16="http://schemas.microsoft.com/office/drawing/2014/chart" uri="{C3380CC4-5D6E-409C-BE32-E72D297353CC}">
              <c16:uniqueId val="{00000000-C836-45AF-BB7D-DCAB73CD832E}"/>
            </c:ext>
          </c:extLst>
        </c:ser>
        <c:dLbls>
          <c:dLblPos val="inEnd"/>
          <c:showLegendKey val="0"/>
          <c:showVal val="1"/>
          <c:showCatName val="0"/>
          <c:showSerName val="0"/>
          <c:showPercent val="0"/>
          <c:showBubbleSize val="0"/>
        </c:dLbls>
        <c:gapWidth val="68"/>
        <c:overlap val="100"/>
        <c:axId val="1840035775"/>
        <c:axId val="1711047519"/>
      </c:barChart>
      <c:catAx>
        <c:axId val="1840035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a:softEdge rad="2159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47519"/>
        <c:crosses val="autoZero"/>
        <c:auto val="1"/>
        <c:lblAlgn val="ctr"/>
        <c:lblOffset val="100"/>
        <c:noMultiLvlLbl val="0"/>
      </c:catAx>
      <c:valAx>
        <c:axId val="1711047519"/>
        <c:scaling>
          <c:orientation val="minMax"/>
        </c:scaling>
        <c:delete val="1"/>
        <c:axPos val="b"/>
        <c:numFmt formatCode="##\.##,\ &quot;L&quot;" sourceLinked="1"/>
        <c:majorTickMark val="out"/>
        <c:minorTickMark val="none"/>
        <c:tickLblPos val="nextTo"/>
        <c:crossAx val="1840035775"/>
        <c:crosses val="autoZero"/>
        <c:crossBetween val="between"/>
      </c:valAx>
      <c:spPr>
        <a:solidFill>
          <a:sysClr val="window" lastClr="FFFFFF"/>
        </a:solidFill>
        <a:ln>
          <a:noFill/>
        </a:ln>
        <a:effectLst>
          <a:glow>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15240</xdr:colOff>
      <xdr:row>18</xdr:row>
      <xdr:rowOff>171450</xdr:rowOff>
    </xdr:from>
    <xdr:to>
      <xdr:col>5</xdr:col>
      <xdr:colOff>0</xdr:colOff>
      <xdr:row>33</xdr:row>
      <xdr:rowOff>171450</xdr:rowOff>
    </xdr:to>
    <xdr:graphicFrame macro="">
      <xdr:nvGraphicFramePr>
        <xdr:cNvPr id="3" name="Chart 2">
          <a:extLst>
            <a:ext uri="{FF2B5EF4-FFF2-40B4-BE49-F238E27FC236}">
              <a16:creationId xmlns:a16="http://schemas.microsoft.com/office/drawing/2014/main" id="{0CFC9197-D359-DB6C-989D-9D6AF80CC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26</xdr:row>
      <xdr:rowOff>64770</xdr:rowOff>
    </xdr:from>
    <xdr:to>
      <xdr:col>8</xdr:col>
      <xdr:colOff>1120140</xdr:colOff>
      <xdr:row>41</xdr:row>
      <xdr:rowOff>64770</xdr:rowOff>
    </xdr:to>
    <xdr:graphicFrame macro="">
      <xdr:nvGraphicFramePr>
        <xdr:cNvPr id="4" name="Chart 3">
          <a:extLst>
            <a:ext uri="{FF2B5EF4-FFF2-40B4-BE49-F238E27FC236}">
              <a16:creationId xmlns:a16="http://schemas.microsoft.com/office/drawing/2014/main" id="{803D653F-2C03-0F06-7DA0-C53E6B130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948690</xdr:colOff>
      <xdr:row>18</xdr:row>
      <xdr:rowOff>163830</xdr:rowOff>
    </xdr:from>
    <xdr:to>
      <xdr:col>15</xdr:col>
      <xdr:colOff>201930</xdr:colOff>
      <xdr:row>33</xdr:row>
      <xdr:rowOff>163830</xdr:rowOff>
    </xdr:to>
    <xdr:graphicFrame macro="">
      <xdr:nvGraphicFramePr>
        <xdr:cNvPr id="5" name="Chart 4">
          <a:extLst>
            <a:ext uri="{FF2B5EF4-FFF2-40B4-BE49-F238E27FC236}">
              <a16:creationId xmlns:a16="http://schemas.microsoft.com/office/drawing/2014/main" id="{E7BC5D98-A3CC-753D-7940-9AC46668E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598170</xdr:colOff>
      <xdr:row>19</xdr:row>
      <xdr:rowOff>11430</xdr:rowOff>
    </xdr:from>
    <xdr:to>
      <xdr:col>25</xdr:col>
      <xdr:colOff>266700</xdr:colOff>
      <xdr:row>34</xdr:row>
      <xdr:rowOff>11430</xdr:rowOff>
    </xdr:to>
    <xdr:graphicFrame macro="">
      <xdr:nvGraphicFramePr>
        <xdr:cNvPr id="6" name="Chart 5">
          <a:extLst>
            <a:ext uri="{FF2B5EF4-FFF2-40B4-BE49-F238E27FC236}">
              <a16:creationId xmlns:a16="http://schemas.microsoft.com/office/drawing/2014/main" id="{E965862E-AD39-840A-09D5-C325498CB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952500</xdr:colOff>
      <xdr:row>0</xdr:row>
      <xdr:rowOff>91440</xdr:rowOff>
    </xdr:from>
    <xdr:to>
      <xdr:col>15</xdr:col>
      <xdr:colOff>464820</xdr:colOff>
      <xdr:row>13</xdr:row>
      <xdr:rowOff>180975</xdr:rowOff>
    </xdr:to>
    <mc:AlternateContent xmlns:mc="http://schemas.openxmlformats.org/markup-compatibility/2006">
      <mc:Choice xmlns:a14="http://schemas.microsoft.com/office/drawing/2010/main" Requires="a14">
        <xdr:graphicFrame macro="">
          <xdr:nvGraphicFramePr>
            <xdr:cNvPr id="7" name="Sales Person">
              <a:extLst>
                <a:ext uri="{FF2B5EF4-FFF2-40B4-BE49-F238E27FC236}">
                  <a16:creationId xmlns:a16="http://schemas.microsoft.com/office/drawing/2014/main" id="{DDDE2A26-4E28-F494-472E-F69ABE3612F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2268200" y="91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167640</xdr:colOff>
      <xdr:row>14</xdr:row>
      <xdr:rowOff>1</xdr:rowOff>
    </xdr:from>
    <xdr:to>
      <xdr:col>3</xdr:col>
      <xdr:colOff>312420</xdr:colOff>
      <xdr:row>18</xdr:row>
      <xdr:rowOff>7620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96FE27B-E2E4-E2E7-D0A4-5871517436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28700" y="2560321"/>
              <a:ext cx="1882140" cy="73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8</xdr:row>
      <xdr:rowOff>53340</xdr:rowOff>
    </xdr:from>
    <xdr:to>
      <xdr:col>13</xdr:col>
      <xdr:colOff>99060</xdr:colOff>
      <xdr:row>21</xdr:row>
      <xdr:rowOff>142875</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86003386-8431-9772-4D8B-F18BB1900EE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683240" y="1516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30480</xdr:rowOff>
    </xdr:from>
    <xdr:to>
      <xdr:col>23</xdr:col>
      <xdr:colOff>76200</xdr:colOff>
      <xdr:row>5</xdr:row>
      <xdr:rowOff>137160</xdr:rowOff>
    </xdr:to>
    <xdr:sp macro="" textlink="">
      <xdr:nvSpPr>
        <xdr:cNvPr id="2" name="Rectangle: Rounded Corners 1">
          <a:extLst>
            <a:ext uri="{FF2B5EF4-FFF2-40B4-BE49-F238E27FC236}">
              <a16:creationId xmlns:a16="http://schemas.microsoft.com/office/drawing/2014/main" id="{EF171EDA-B37B-F4C2-2A10-956FB38A160A}"/>
            </a:ext>
          </a:extLst>
        </xdr:cNvPr>
        <xdr:cNvSpPr/>
      </xdr:nvSpPr>
      <xdr:spPr>
        <a:xfrm>
          <a:off x="53340" y="30480"/>
          <a:ext cx="14043660" cy="10210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60960</xdr:colOff>
      <xdr:row>7</xdr:row>
      <xdr:rowOff>45720</xdr:rowOff>
    </xdr:from>
    <xdr:to>
      <xdr:col>4</xdr:col>
      <xdr:colOff>533400</xdr:colOff>
      <xdr:row>13</xdr:row>
      <xdr:rowOff>83820</xdr:rowOff>
    </xdr:to>
    <xdr:sp macro="" textlink="">
      <xdr:nvSpPr>
        <xdr:cNvPr id="3" name="Rectangle: Rounded Corners 2">
          <a:extLst>
            <a:ext uri="{FF2B5EF4-FFF2-40B4-BE49-F238E27FC236}">
              <a16:creationId xmlns:a16="http://schemas.microsoft.com/office/drawing/2014/main" id="{6C2D8F37-4C1F-44D9-B46F-D6EE146E9FC9}"/>
            </a:ext>
          </a:extLst>
        </xdr:cNvPr>
        <xdr:cNvSpPr/>
      </xdr:nvSpPr>
      <xdr:spPr>
        <a:xfrm>
          <a:off x="60960" y="1325880"/>
          <a:ext cx="2910840" cy="11353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68580</xdr:colOff>
      <xdr:row>7</xdr:row>
      <xdr:rowOff>38100</xdr:rowOff>
    </xdr:from>
    <xdr:to>
      <xdr:col>1</xdr:col>
      <xdr:colOff>434340</xdr:colOff>
      <xdr:row>13</xdr:row>
      <xdr:rowOff>76200</xdr:rowOff>
    </xdr:to>
    <xdr:sp macro="" textlink="">
      <xdr:nvSpPr>
        <xdr:cNvPr id="4" name="Rectangle: Rounded Corners 3">
          <a:extLst>
            <a:ext uri="{FF2B5EF4-FFF2-40B4-BE49-F238E27FC236}">
              <a16:creationId xmlns:a16="http://schemas.microsoft.com/office/drawing/2014/main" id="{4ABE1788-C08A-4E96-BA07-1CE686C7CB57}"/>
            </a:ext>
          </a:extLst>
        </xdr:cNvPr>
        <xdr:cNvSpPr/>
      </xdr:nvSpPr>
      <xdr:spPr>
        <a:xfrm>
          <a:off x="68580" y="1318260"/>
          <a:ext cx="975360" cy="113538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0</xdr:colOff>
      <xdr:row>8</xdr:row>
      <xdr:rowOff>0</xdr:rowOff>
    </xdr:from>
    <xdr:to>
      <xdr:col>3</xdr:col>
      <xdr:colOff>419100</xdr:colOff>
      <xdr:row>9</xdr:row>
      <xdr:rowOff>99060</xdr:rowOff>
    </xdr:to>
    <xdr:sp macro="" textlink="">
      <xdr:nvSpPr>
        <xdr:cNvPr id="5" name="TextBox 4">
          <a:extLst>
            <a:ext uri="{FF2B5EF4-FFF2-40B4-BE49-F238E27FC236}">
              <a16:creationId xmlns:a16="http://schemas.microsoft.com/office/drawing/2014/main" id="{4C666F0D-9EFF-57B9-F113-57EF0F0D2FDC}"/>
            </a:ext>
          </a:extLst>
        </xdr:cNvPr>
        <xdr:cNvSpPr txBox="1"/>
      </xdr:nvSpPr>
      <xdr:spPr>
        <a:xfrm>
          <a:off x="1219200" y="146304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 Sales</a:t>
          </a:r>
        </a:p>
      </xdr:txBody>
    </xdr:sp>
    <xdr:clientData/>
  </xdr:twoCellAnchor>
  <xdr:twoCellAnchor>
    <xdr:from>
      <xdr:col>2</xdr:col>
      <xdr:colOff>38100</xdr:colOff>
      <xdr:row>10</xdr:row>
      <xdr:rowOff>106680</xdr:rowOff>
    </xdr:from>
    <xdr:to>
      <xdr:col>5</xdr:col>
      <xdr:colOff>129540</xdr:colOff>
      <xdr:row>12</xdr:row>
      <xdr:rowOff>152400</xdr:rowOff>
    </xdr:to>
    <xdr:sp macro="" textlink="Sheet1!K3">
      <xdr:nvSpPr>
        <xdr:cNvPr id="6" name="TextBox 5">
          <a:extLst>
            <a:ext uri="{FF2B5EF4-FFF2-40B4-BE49-F238E27FC236}">
              <a16:creationId xmlns:a16="http://schemas.microsoft.com/office/drawing/2014/main" id="{EA8E2D39-D38A-2560-3514-060B27BA47AB}"/>
            </a:ext>
          </a:extLst>
        </xdr:cNvPr>
        <xdr:cNvSpPr txBox="1"/>
      </xdr:nvSpPr>
      <xdr:spPr>
        <a:xfrm>
          <a:off x="1257300" y="1935480"/>
          <a:ext cx="1920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25E1DB-7B2A-42AC-B079-614302C20937}" type="TxLink">
            <a:rPr lang="en-US" sz="2000" b="0" i="0" u="none" strike="noStrike">
              <a:solidFill>
                <a:schemeClr val="accent1"/>
              </a:solidFill>
              <a:latin typeface="Calibri"/>
              <a:cs typeface="Calibri"/>
            </a:rPr>
            <a:t>1,29,44,500 </a:t>
          </a:fld>
          <a:endParaRPr lang="en-IN" sz="2000">
            <a:solidFill>
              <a:schemeClr val="accent1"/>
            </a:solidFill>
          </a:endParaRPr>
        </a:p>
      </xdr:txBody>
    </xdr:sp>
    <xdr:clientData/>
  </xdr:twoCellAnchor>
  <xdr:twoCellAnchor>
    <xdr:from>
      <xdr:col>5</xdr:col>
      <xdr:colOff>121920</xdr:colOff>
      <xdr:row>7</xdr:row>
      <xdr:rowOff>45720</xdr:rowOff>
    </xdr:from>
    <xdr:to>
      <xdr:col>9</xdr:col>
      <xdr:colOff>480060</xdr:colOff>
      <xdr:row>13</xdr:row>
      <xdr:rowOff>83820</xdr:rowOff>
    </xdr:to>
    <xdr:sp macro="" textlink="">
      <xdr:nvSpPr>
        <xdr:cNvPr id="8" name="Rectangle: Rounded Corners 7">
          <a:extLst>
            <a:ext uri="{FF2B5EF4-FFF2-40B4-BE49-F238E27FC236}">
              <a16:creationId xmlns:a16="http://schemas.microsoft.com/office/drawing/2014/main" id="{489AC937-88DE-5764-3BEF-55F2F02BB62E}"/>
            </a:ext>
          </a:extLst>
        </xdr:cNvPr>
        <xdr:cNvSpPr/>
      </xdr:nvSpPr>
      <xdr:spPr>
        <a:xfrm>
          <a:off x="3169920" y="1325880"/>
          <a:ext cx="2796540" cy="11353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129540</xdr:colOff>
      <xdr:row>7</xdr:row>
      <xdr:rowOff>38100</xdr:rowOff>
    </xdr:from>
    <xdr:to>
      <xdr:col>6</xdr:col>
      <xdr:colOff>495300</xdr:colOff>
      <xdr:row>13</xdr:row>
      <xdr:rowOff>76200</xdr:rowOff>
    </xdr:to>
    <xdr:sp macro="" textlink="">
      <xdr:nvSpPr>
        <xdr:cNvPr id="9" name="Rectangle: Rounded Corners 8">
          <a:extLst>
            <a:ext uri="{FF2B5EF4-FFF2-40B4-BE49-F238E27FC236}">
              <a16:creationId xmlns:a16="http://schemas.microsoft.com/office/drawing/2014/main" id="{17F95BB8-B38B-42F3-D5D0-D97AE4E73415}"/>
            </a:ext>
          </a:extLst>
        </xdr:cNvPr>
        <xdr:cNvSpPr/>
      </xdr:nvSpPr>
      <xdr:spPr>
        <a:xfrm>
          <a:off x="3177540" y="1318260"/>
          <a:ext cx="975360" cy="113538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60960</xdr:colOff>
      <xdr:row>8</xdr:row>
      <xdr:rowOff>0</xdr:rowOff>
    </xdr:from>
    <xdr:to>
      <xdr:col>9</xdr:col>
      <xdr:colOff>358140</xdr:colOff>
      <xdr:row>9</xdr:row>
      <xdr:rowOff>99060</xdr:rowOff>
    </xdr:to>
    <xdr:sp macro="" textlink="">
      <xdr:nvSpPr>
        <xdr:cNvPr id="10" name="TextBox 9">
          <a:extLst>
            <a:ext uri="{FF2B5EF4-FFF2-40B4-BE49-F238E27FC236}">
              <a16:creationId xmlns:a16="http://schemas.microsoft.com/office/drawing/2014/main" id="{A694BAF9-2435-5B76-D6AF-62E61B8A742D}"/>
            </a:ext>
          </a:extLst>
        </xdr:cNvPr>
        <xdr:cNvSpPr txBox="1"/>
      </xdr:nvSpPr>
      <xdr:spPr>
        <a:xfrm>
          <a:off x="4328160" y="1463040"/>
          <a:ext cx="15163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Average</a:t>
          </a:r>
          <a:r>
            <a:rPr lang="en-IN" sz="1400" b="1" baseline="0">
              <a:solidFill>
                <a:schemeClr val="accent1"/>
              </a:solidFill>
            </a:rPr>
            <a:t> Sales</a:t>
          </a:r>
          <a:endParaRPr lang="en-IN" sz="1400" b="1">
            <a:solidFill>
              <a:schemeClr val="accent1"/>
            </a:solidFill>
          </a:endParaRPr>
        </a:p>
      </xdr:txBody>
    </xdr:sp>
    <xdr:clientData/>
  </xdr:twoCellAnchor>
  <xdr:twoCellAnchor>
    <xdr:from>
      <xdr:col>7</xdr:col>
      <xdr:colOff>99060</xdr:colOff>
      <xdr:row>10</xdr:row>
      <xdr:rowOff>106680</xdr:rowOff>
    </xdr:from>
    <xdr:to>
      <xdr:col>10</xdr:col>
      <xdr:colOff>190500</xdr:colOff>
      <xdr:row>12</xdr:row>
      <xdr:rowOff>152400</xdr:rowOff>
    </xdr:to>
    <xdr:sp macro="" textlink="Sheet1!K9">
      <xdr:nvSpPr>
        <xdr:cNvPr id="11" name="TextBox 10">
          <a:extLst>
            <a:ext uri="{FF2B5EF4-FFF2-40B4-BE49-F238E27FC236}">
              <a16:creationId xmlns:a16="http://schemas.microsoft.com/office/drawing/2014/main" id="{9AB3A77F-5E40-9C52-8FCE-734F1F8DDB27}"/>
            </a:ext>
          </a:extLst>
        </xdr:cNvPr>
        <xdr:cNvSpPr txBox="1"/>
      </xdr:nvSpPr>
      <xdr:spPr>
        <a:xfrm>
          <a:off x="4366260" y="1935480"/>
          <a:ext cx="1920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47099-4E85-4502-9620-B496A1E7F775}" type="TxLink">
            <a:rPr lang="en-US" sz="2000" b="0" i="0" u="none" strike="noStrike">
              <a:solidFill>
                <a:schemeClr val="accent1"/>
              </a:solidFill>
              <a:latin typeface="Calibri"/>
              <a:cs typeface="Calibri"/>
            </a:rPr>
            <a:t>2,58,890 </a:t>
          </a:fld>
          <a:endParaRPr lang="en-IN" sz="4000" u="none">
            <a:solidFill>
              <a:schemeClr val="accent1"/>
            </a:solidFill>
          </a:endParaRPr>
        </a:p>
      </xdr:txBody>
    </xdr:sp>
    <xdr:clientData/>
  </xdr:twoCellAnchor>
  <xdr:twoCellAnchor>
    <xdr:from>
      <xdr:col>12</xdr:col>
      <xdr:colOff>472440</xdr:colOff>
      <xdr:row>8</xdr:row>
      <xdr:rowOff>0</xdr:rowOff>
    </xdr:from>
    <xdr:to>
      <xdr:col>14</xdr:col>
      <xdr:colOff>281940</xdr:colOff>
      <xdr:row>9</xdr:row>
      <xdr:rowOff>99060</xdr:rowOff>
    </xdr:to>
    <xdr:sp macro="" textlink="">
      <xdr:nvSpPr>
        <xdr:cNvPr id="14" name="TextBox 13">
          <a:extLst>
            <a:ext uri="{FF2B5EF4-FFF2-40B4-BE49-F238E27FC236}">
              <a16:creationId xmlns:a16="http://schemas.microsoft.com/office/drawing/2014/main" id="{E03A14EA-A9B5-8009-8B84-F79BFDA58CBF}"/>
            </a:ext>
          </a:extLst>
        </xdr:cNvPr>
        <xdr:cNvSpPr txBox="1"/>
      </xdr:nvSpPr>
      <xdr:spPr>
        <a:xfrm>
          <a:off x="7787640" y="146304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Unit</a:t>
          </a:r>
          <a:r>
            <a:rPr lang="en-IN" sz="1400" b="1" baseline="0">
              <a:solidFill>
                <a:schemeClr val="accent1"/>
              </a:solidFill>
            </a:rPr>
            <a:t> Sold</a:t>
          </a:r>
          <a:endParaRPr lang="en-IN" sz="1400" b="1">
            <a:solidFill>
              <a:schemeClr val="accent1"/>
            </a:solidFill>
          </a:endParaRPr>
        </a:p>
      </xdr:txBody>
    </xdr:sp>
    <xdr:clientData/>
  </xdr:twoCellAnchor>
  <xdr:twoCellAnchor>
    <xdr:from>
      <xdr:col>12</xdr:col>
      <xdr:colOff>510540</xdr:colOff>
      <xdr:row>10</xdr:row>
      <xdr:rowOff>106680</xdr:rowOff>
    </xdr:from>
    <xdr:to>
      <xdr:col>15</xdr:col>
      <xdr:colOff>601980</xdr:colOff>
      <xdr:row>12</xdr:row>
      <xdr:rowOff>152400</xdr:rowOff>
    </xdr:to>
    <xdr:sp macro="" textlink="Sheet1!K5">
      <xdr:nvSpPr>
        <xdr:cNvPr id="15" name="TextBox 14">
          <a:extLst>
            <a:ext uri="{FF2B5EF4-FFF2-40B4-BE49-F238E27FC236}">
              <a16:creationId xmlns:a16="http://schemas.microsoft.com/office/drawing/2014/main" id="{0C226647-ACF2-1DC1-EA4B-C5FCA63D134A}"/>
            </a:ext>
          </a:extLst>
        </xdr:cNvPr>
        <xdr:cNvSpPr txBox="1"/>
      </xdr:nvSpPr>
      <xdr:spPr>
        <a:xfrm>
          <a:off x="7825740" y="1935480"/>
          <a:ext cx="1920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05AF2-D0B2-4642-BC8C-611A950F2188}" type="TxLink">
            <a:rPr lang="en-US" sz="2000" b="0" i="0" u="none" strike="noStrike">
              <a:solidFill>
                <a:schemeClr val="accent1"/>
              </a:solidFill>
              <a:latin typeface="Calibri"/>
              <a:cs typeface="Calibri"/>
            </a:rPr>
            <a:t>4,705</a:t>
          </a:fld>
          <a:endParaRPr lang="en-IN" sz="4000">
            <a:solidFill>
              <a:schemeClr val="accent1"/>
            </a:solidFill>
          </a:endParaRPr>
        </a:p>
      </xdr:txBody>
    </xdr:sp>
    <xdr:clientData/>
  </xdr:twoCellAnchor>
  <xdr:twoCellAnchor editAs="oneCell">
    <xdr:from>
      <xdr:col>10</xdr:col>
      <xdr:colOff>586740</xdr:colOff>
      <xdr:row>7</xdr:row>
      <xdr:rowOff>114300</xdr:rowOff>
    </xdr:from>
    <xdr:to>
      <xdr:col>12</xdr:col>
      <xdr:colOff>281940</xdr:colOff>
      <xdr:row>12</xdr:row>
      <xdr:rowOff>114300</xdr:rowOff>
    </xdr:to>
    <xdr:pic>
      <xdr:nvPicPr>
        <xdr:cNvPr id="21" name="Graphic 20" descr="Coins">
          <a:extLst>
            <a:ext uri="{FF2B5EF4-FFF2-40B4-BE49-F238E27FC236}">
              <a16:creationId xmlns:a16="http://schemas.microsoft.com/office/drawing/2014/main" id="{564BA271-B920-0069-6727-238E2876BF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82740" y="1394460"/>
          <a:ext cx="914400" cy="914400"/>
        </a:xfrm>
        <a:prstGeom prst="rect">
          <a:avLst/>
        </a:prstGeom>
      </xdr:spPr>
    </xdr:pic>
    <xdr:clientData/>
  </xdr:twoCellAnchor>
  <xdr:twoCellAnchor editAs="oneCell">
    <xdr:from>
      <xdr:col>17</xdr:col>
      <xdr:colOff>401460</xdr:colOff>
      <xdr:row>7</xdr:row>
      <xdr:rowOff>96660</xdr:rowOff>
    </xdr:from>
    <xdr:to>
      <xdr:col>19</xdr:col>
      <xdr:colOff>96660</xdr:colOff>
      <xdr:row>12</xdr:row>
      <xdr:rowOff>96660</xdr:rowOff>
    </xdr:to>
    <xdr:pic>
      <xdr:nvPicPr>
        <xdr:cNvPr id="23" name="Graphic 22" descr="Money">
          <a:extLst>
            <a:ext uri="{FF2B5EF4-FFF2-40B4-BE49-F238E27FC236}">
              <a16:creationId xmlns:a16="http://schemas.microsoft.com/office/drawing/2014/main" id="{B987DF4E-6D97-0770-2EAB-B3BEBBDFB1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764660" y="1376820"/>
          <a:ext cx="914400" cy="914400"/>
        </a:xfrm>
        <a:prstGeom prst="rect">
          <a:avLst/>
        </a:prstGeom>
      </xdr:spPr>
    </xdr:pic>
    <xdr:clientData/>
  </xdr:twoCellAnchor>
  <xdr:twoCellAnchor editAs="oneCell">
    <xdr:from>
      <xdr:col>0</xdr:col>
      <xdr:colOff>79020</xdr:colOff>
      <xdr:row>7</xdr:row>
      <xdr:rowOff>162840</xdr:rowOff>
    </xdr:from>
    <xdr:to>
      <xdr:col>1</xdr:col>
      <xdr:colOff>383820</xdr:colOff>
      <xdr:row>12</xdr:row>
      <xdr:rowOff>162840</xdr:rowOff>
    </xdr:to>
    <xdr:pic>
      <xdr:nvPicPr>
        <xdr:cNvPr id="25" name="Graphic 24" descr="Bank">
          <a:extLst>
            <a:ext uri="{FF2B5EF4-FFF2-40B4-BE49-F238E27FC236}">
              <a16:creationId xmlns:a16="http://schemas.microsoft.com/office/drawing/2014/main" id="{ED04D18D-3A84-341F-DC5F-69997269A3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020" y="1443000"/>
          <a:ext cx="914400" cy="914400"/>
        </a:xfrm>
        <a:prstGeom prst="rect">
          <a:avLst/>
        </a:prstGeom>
      </xdr:spPr>
    </xdr:pic>
    <xdr:clientData/>
  </xdr:twoCellAnchor>
  <xdr:twoCellAnchor editAs="oneCell">
    <xdr:from>
      <xdr:col>5</xdr:col>
      <xdr:colOff>175680</xdr:colOff>
      <xdr:row>7</xdr:row>
      <xdr:rowOff>175680</xdr:rowOff>
    </xdr:from>
    <xdr:to>
      <xdr:col>6</xdr:col>
      <xdr:colOff>480480</xdr:colOff>
      <xdr:row>12</xdr:row>
      <xdr:rowOff>175680</xdr:rowOff>
    </xdr:to>
    <xdr:pic>
      <xdr:nvPicPr>
        <xdr:cNvPr id="27" name="Graphic 26" descr="Wallet">
          <a:extLst>
            <a:ext uri="{FF2B5EF4-FFF2-40B4-BE49-F238E27FC236}">
              <a16:creationId xmlns:a16="http://schemas.microsoft.com/office/drawing/2014/main" id="{7F494127-47A8-AA7F-2580-79713D75D89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23680" y="1455840"/>
          <a:ext cx="914400" cy="914400"/>
        </a:xfrm>
        <a:prstGeom prst="rect">
          <a:avLst/>
        </a:prstGeom>
      </xdr:spPr>
    </xdr:pic>
    <xdr:clientData/>
  </xdr:twoCellAnchor>
  <xdr:twoCellAnchor>
    <xdr:from>
      <xdr:col>7</xdr:col>
      <xdr:colOff>373380</xdr:colOff>
      <xdr:row>1</xdr:row>
      <xdr:rowOff>76200</xdr:rowOff>
    </xdr:from>
    <xdr:to>
      <xdr:col>18</xdr:col>
      <xdr:colOff>480060</xdr:colOff>
      <xdr:row>4</xdr:row>
      <xdr:rowOff>137160</xdr:rowOff>
    </xdr:to>
    <xdr:sp macro="" textlink="">
      <xdr:nvSpPr>
        <xdr:cNvPr id="28" name="TextBox 27">
          <a:extLst>
            <a:ext uri="{FF2B5EF4-FFF2-40B4-BE49-F238E27FC236}">
              <a16:creationId xmlns:a16="http://schemas.microsoft.com/office/drawing/2014/main" id="{B70465DF-4F68-6394-5AEB-6C66BB980C55}"/>
            </a:ext>
          </a:extLst>
        </xdr:cNvPr>
        <xdr:cNvSpPr txBox="1"/>
      </xdr:nvSpPr>
      <xdr:spPr>
        <a:xfrm>
          <a:off x="4640580" y="259080"/>
          <a:ext cx="681228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chemeClr val="accent1"/>
              </a:solidFill>
            </a:rPr>
            <a:t>Sales Dashboard - 2025</a:t>
          </a:r>
        </a:p>
      </xdr:txBody>
    </xdr:sp>
    <xdr:clientData/>
  </xdr:twoCellAnchor>
  <xdr:twoCellAnchor editAs="oneCell">
    <xdr:from>
      <xdr:col>0</xdr:col>
      <xdr:colOff>160020</xdr:colOff>
      <xdr:row>14</xdr:row>
      <xdr:rowOff>68580</xdr:rowOff>
    </xdr:from>
    <xdr:to>
      <xdr:col>3</xdr:col>
      <xdr:colOff>160020</xdr:colOff>
      <xdr:row>38</xdr:row>
      <xdr:rowOff>53340</xdr:rowOff>
    </xdr:to>
    <mc:AlternateContent xmlns:mc="http://schemas.openxmlformats.org/markup-compatibility/2006">
      <mc:Choice xmlns:a14="http://schemas.microsoft.com/office/drawing/2010/main" Requires="a14">
        <xdr:graphicFrame macro="">
          <xdr:nvGraphicFramePr>
            <xdr:cNvPr id="30" name="Sales Person 1">
              <a:extLst>
                <a:ext uri="{FF2B5EF4-FFF2-40B4-BE49-F238E27FC236}">
                  <a16:creationId xmlns:a16="http://schemas.microsoft.com/office/drawing/2014/main" id="{89E1C841-1647-459A-A385-8CA3DB24D1AA}"/>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160020" y="2654762"/>
              <a:ext cx="1835727" cy="4418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7</xdr:row>
      <xdr:rowOff>114300</xdr:rowOff>
    </xdr:from>
    <xdr:to>
      <xdr:col>23</xdr:col>
      <xdr:colOff>211186</xdr:colOff>
      <xdr:row>13</xdr:row>
      <xdr:rowOff>160020</xdr:rowOff>
    </xdr:to>
    <mc:AlternateContent xmlns:mc="http://schemas.openxmlformats.org/markup-compatibility/2006">
      <mc:Choice xmlns:a14="http://schemas.microsoft.com/office/drawing/2010/main" Requires="a14">
        <xdr:graphicFrame macro="">
          <xdr:nvGraphicFramePr>
            <xdr:cNvPr id="29" name="Region 1">
              <a:extLst>
                <a:ext uri="{FF2B5EF4-FFF2-40B4-BE49-F238E27FC236}">
                  <a16:creationId xmlns:a16="http://schemas.microsoft.com/office/drawing/2014/main" id="{007DD67A-8274-41C0-A363-A54ACA4757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748193" y="1407391"/>
              <a:ext cx="2536902" cy="1154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39</xdr:row>
      <xdr:rowOff>38100</xdr:rowOff>
    </xdr:from>
    <xdr:to>
      <xdr:col>3</xdr:col>
      <xdr:colOff>167640</xdr:colOff>
      <xdr:row>56</xdr:row>
      <xdr:rowOff>7620</xdr:rowOff>
    </xdr:to>
    <mc:AlternateContent xmlns:mc="http://schemas.openxmlformats.org/markup-compatibility/2006">
      <mc:Choice xmlns:a14="http://schemas.microsoft.com/office/drawing/2010/main" Requires="a14">
        <xdr:graphicFrame macro="">
          <xdr:nvGraphicFramePr>
            <xdr:cNvPr id="31" name="Product 1">
              <a:extLst>
                <a:ext uri="{FF2B5EF4-FFF2-40B4-BE49-F238E27FC236}">
                  <a16:creationId xmlns:a16="http://schemas.microsoft.com/office/drawing/2014/main" id="{B30DC475-72F6-4F03-87B6-08F42B6053A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7640" y="7242464"/>
              <a:ext cx="1835727" cy="3109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22860</xdr:colOff>
      <xdr:row>7</xdr:row>
      <xdr:rowOff>76200</xdr:rowOff>
    </xdr:from>
    <xdr:to>
      <xdr:col>18</xdr:col>
      <xdr:colOff>579120</xdr:colOff>
      <xdr:row>13</xdr:row>
      <xdr:rowOff>137160</xdr:rowOff>
    </xdr:to>
    <xdr:sp macro="" textlink="">
      <xdr:nvSpPr>
        <xdr:cNvPr id="40" name="Rectangle: Rounded Corners 39">
          <a:extLst>
            <a:ext uri="{FF2B5EF4-FFF2-40B4-BE49-F238E27FC236}">
              <a16:creationId xmlns:a16="http://schemas.microsoft.com/office/drawing/2014/main" id="{81ABB087-85EF-106B-029B-E24ACB171AD6}"/>
            </a:ext>
          </a:extLst>
        </xdr:cNvPr>
        <xdr:cNvSpPr/>
      </xdr:nvSpPr>
      <xdr:spPr>
        <a:xfrm>
          <a:off x="9166860" y="1356360"/>
          <a:ext cx="2385060" cy="115824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22860</xdr:colOff>
      <xdr:row>7</xdr:row>
      <xdr:rowOff>91440</xdr:rowOff>
    </xdr:from>
    <xdr:to>
      <xdr:col>16</xdr:col>
      <xdr:colOff>388620</xdr:colOff>
      <xdr:row>13</xdr:row>
      <xdr:rowOff>129540</xdr:rowOff>
    </xdr:to>
    <xdr:sp macro="" textlink="">
      <xdr:nvSpPr>
        <xdr:cNvPr id="41" name="Rectangle: Rounded Corners 40">
          <a:extLst>
            <a:ext uri="{FF2B5EF4-FFF2-40B4-BE49-F238E27FC236}">
              <a16:creationId xmlns:a16="http://schemas.microsoft.com/office/drawing/2014/main" id="{A13A2C5E-0A19-89FA-D1FD-D3BA2FC4D541}"/>
            </a:ext>
          </a:extLst>
        </xdr:cNvPr>
        <xdr:cNvSpPr/>
      </xdr:nvSpPr>
      <xdr:spPr>
        <a:xfrm>
          <a:off x="9166860" y="1371600"/>
          <a:ext cx="975360" cy="113538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571500</xdr:colOff>
      <xdr:row>8</xdr:row>
      <xdr:rowOff>30480</xdr:rowOff>
    </xdr:from>
    <xdr:to>
      <xdr:col>18</xdr:col>
      <xdr:colOff>381000</xdr:colOff>
      <xdr:row>9</xdr:row>
      <xdr:rowOff>129540</xdr:rowOff>
    </xdr:to>
    <xdr:sp macro="" textlink="">
      <xdr:nvSpPr>
        <xdr:cNvPr id="42" name="TextBox 41">
          <a:extLst>
            <a:ext uri="{FF2B5EF4-FFF2-40B4-BE49-F238E27FC236}">
              <a16:creationId xmlns:a16="http://schemas.microsoft.com/office/drawing/2014/main" id="{C53DF14F-6C7C-5403-17C9-4526076CA76D}"/>
            </a:ext>
          </a:extLst>
        </xdr:cNvPr>
        <xdr:cNvSpPr txBox="1"/>
      </xdr:nvSpPr>
      <xdr:spPr>
        <a:xfrm>
          <a:off x="10325100" y="149352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Profit</a:t>
          </a:r>
        </a:p>
      </xdr:txBody>
    </xdr:sp>
    <xdr:clientData/>
  </xdr:twoCellAnchor>
  <xdr:twoCellAnchor>
    <xdr:from>
      <xdr:col>17</xdr:col>
      <xdr:colOff>0</xdr:colOff>
      <xdr:row>10</xdr:row>
      <xdr:rowOff>160020</xdr:rowOff>
    </xdr:from>
    <xdr:to>
      <xdr:col>20</xdr:col>
      <xdr:colOff>91440</xdr:colOff>
      <xdr:row>13</xdr:row>
      <xdr:rowOff>22860</xdr:rowOff>
    </xdr:to>
    <xdr:sp macro="" textlink="Sheet1!K7">
      <xdr:nvSpPr>
        <xdr:cNvPr id="43" name="TextBox 42">
          <a:extLst>
            <a:ext uri="{FF2B5EF4-FFF2-40B4-BE49-F238E27FC236}">
              <a16:creationId xmlns:a16="http://schemas.microsoft.com/office/drawing/2014/main" id="{57CB9E5D-0EE4-02DF-BDC9-2233EBD71A3C}"/>
            </a:ext>
          </a:extLst>
        </xdr:cNvPr>
        <xdr:cNvSpPr txBox="1"/>
      </xdr:nvSpPr>
      <xdr:spPr>
        <a:xfrm>
          <a:off x="10363200" y="1988820"/>
          <a:ext cx="1920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10E072-4A92-4677-88CE-02980B05B770}" type="TxLink">
            <a:rPr lang="en-US" sz="1600" b="0" i="0" u="none" strike="noStrike">
              <a:solidFill>
                <a:schemeClr val="accent1"/>
              </a:solidFill>
              <a:latin typeface="Calibri"/>
              <a:cs typeface="Calibri"/>
            </a:rPr>
            <a:t>38,34,400</a:t>
          </a:fld>
          <a:endParaRPr lang="en-IN" sz="3200" b="0">
            <a:solidFill>
              <a:schemeClr val="accent1"/>
            </a:solidFill>
          </a:endParaRPr>
        </a:p>
      </xdr:txBody>
    </xdr:sp>
    <xdr:clientData/>
  </xdr:twoCellAnchor>
  <xdr:twoCellAnchor editAs="oneCell">
    <xdr:from>
      <xdr:col>15</xdr:col>
      <xdr:colOff>58560</xdr:colOff>
      <xdr:row>7</xdr:row>
      <xdr:rowOff>127140</xdr:rowOff>
    </xdr:from>
    <xdr:to>
      <xdr:col>16</xdr:col>
      <xdr:colOff>363360</xdr:colOff>
      <xdr:row>12</xdr:row>
      <xdr:rowOff>127140</xdr:rowOff>
    </xdr:to>
    <xdr:pic>
      <xdr:nvPicPr>
        <xdr:cNvPr id="44" name="Graphic 43" descr="Money">
          <a:extLst>
            <a:ext uri="{FF2B5EF4-FFF2-40B4-BE49-F238E27FC236}">
              <a16:creationId xmlns:a16="http://schemas.microsoft.com/office/drawing/2014/main" id="{710787F3-E6F1-9CD9-F37D-4EF7A9BDBD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02560" y="1407300"/>
          <a:ext cx="914400" cy="914400"/>
        </a:xfrm>
        <a:prstGeom prst="rect">
          <a:avLst/>
        </a:prstGeom>
      </xdr:spPr>
    </xdr:pic>
    <xdr:clientData/>
  </xdr:twoCellAnchor>
  <xdr:twoCellAnchor>
    <xdr:from>
      <xdr:col>11</xdr:col>
      <xdr:colOff>83820</xdr:colOff>
      <xdr:row>7</xdr:row>
      <xdr:rowOff>99060</xdr:rowOff>
    </xdr:from>
    <xdr:to>
      <xdr:col>14</xdr:col>
      <xdr:colOff>381000</xdr:colOff>
      <xdr:row>13</xdr:row>
      <xdr:rowOff>137160</xdr:rowOff>
    </xdr:to>
    <xdr:sp macro="" textlink="">
      <xdr:nvSpPr>
        <xdr:cNvPr id="45" name="Rectangle: Rounded Corners 44">
          <a:extLst>
            <a:ext uri="{FF2B5EF4-FFF2-40B4-BE49-F238E27FC236}">
              <a16:creationId xmlns:a16="http://schemas.microsoft.com/office/drawing/2014/main" id="{77AC454D-FA96-1009-0D0F-C62B740FD976}"/>
            </a:ext>
          </a:extLst>
        </xdr:cNvPr>
        <xdr:cNvSpPr/>
      </xdr:nvSpPr>
      <xdr:spPr>
        <a:xfrm>
          <a:off x="6789420" y="1379220"/>
          <a:ext cx="2125980" cy="11353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99060</xdr:colOff>
      <xdr:row>7</xdr:row>
      <xdr:rowOff>91440</xdr:rowOff>
    </xdr:from>
    <xdr:to>
      <xdr:col>11</xdr:col>
      <xdr:colOff>464820</xdr:colOff>
      <xdr:row>13</xdr:row>
      <xdr:rowOff>129540</xdr:rowOff>
    </xdr:to>
    <xdr:sp macro="" textlink="">
      <xdr:nvSpPr>
        <xdr:cNvPr id="46" name="Rectangle: Rounded Corners 45">
          <a:extLst>
            <a:ext uri="{FF2B5EF4-FFF2-40B4-BE49-F238E27FC236}">
              <a16:creationId xmlns:a16="http://schemas.microsoft.com/office/drawing/2014/main" id="{BFF34F27-04FE-3A01-4B17-229F0532F5A1}"/>
            </a:ext>
          </a:extLst>
        </xdr:cNvPr>
        <xdr:cNvSpPr/>
      </xdr:nvSpPr>
      <xdr:spPr>
        <a:xfrm>
          <a:off x="6195060" y="1371600"/>
          <a:ext cx="975360" cy="1135380"/>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30480</xdr:colOff>
      <xdr:row>8</xdr:row>
      <xdr:rowOff>53340</xdr:rowOff>
    </xdr:from>
    <xdr:to>
      <xdr:col>13</xdr:col>
      <xdr:colOff>449580</xdr:colOff>
      <xdr:row>9</xdr:row>
      <xdr:rowOff>152400</xdr:rowOff>
    </xdr:to>
    <xdr:sp macro="" textlink="">
      <xdr:nvSpPr>
        <xdr:cNvPr id="47" name="TextBox 46">
          <a:extLst>
            <a:ext uri="{FF2B5EF4-FFF2-40B4-BE49-F238E27FC236}">
              <a16:creationId xmlns:a16="http://schemas.microsoft.com/office/drawing/2014/main" id="{6883DF26-7877-DD00-31CB-03DB91692299}"/>
            </a:ext>
          </a:extLst>
        </xdr:cNvPr>
        <xdr:cNvSpPr txBox="1"/>
      </xdr:nvSpPr>
      <xdr:spPr>
        <a:xfrm>
          <a:off x="7345680" y="1516380"/>
          <a:ext cx="10287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Unit</a:t>
          </a:r>
          <a:r>
            <a:rPr lang="en-IN" sz="1400" b="1" baseline="0">
              <a:solidFill>
                <a:schemeClr val="accent1"/>
              </a:solidFill>
            </a:rPr>
            <a:t> Sold</a:t>
          </a:r>
          <a:endParaRPr lang="en-IN" sz="1400" b="1">
            <a:solidFill>
              <a:schemeClr val="accent1"/>
            </a:solidFill>
          </a:endParaRPr>
        </a:p>
      </xdr:txBody>
    </xdr:sp>
    <xdr:clientData/>
  </xdr:twoCellAnchor>
  <xdr:twoCellAnchor>
    <xdr:from>
      <xdr:col>12</xdr:col>
      <xdr:colOff>68580</xdr:colOff>
      <xdr:row>10</xdr:row>
      <xdr:rowOff>160020</xdr:rowOff>
    </xdr:from>
    <xdr:to>
      <xdr:col>15</xdr:col>
      <xdr:colOff>160020</xdr:colOff>
      <xdr:row>13</xdr:row>
      <xdr:rowOff>22860</xdr:rowOff>
    </xdr:to>
    <xdr:sp macro="" textlink="Sheet1!K5">
      <xdr:nvSpPr>
        <xdr:cNvPr id="48" name="TextBox 47">
          <a:extLst>
            <a:ext uri="{FF2B5EF4-FFF2-40B4-BE49-F238E27FC236}">
              <a16:creationId xmlns:a16="http://schemas.microsoft.com/office/drawing/2014/main" id="{E9C1AF55-E29F-6FAE-D981-7B91C87F215E}"/>
            </a:ext>
          </a:extLst>
        </xdr:cNvPr>
        <xdr:cNvSpPr txBox="1"/>
      </xdr:nvSpPr>
      <xdr:spPr>
        <a:xfrm>
          <a:off x="7383780" y="1988820"/>
          <a:ext cx="1920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05AF2-D0B2-4642-BC8C-611A950F2188}" type="TxLink">
            <a:rPr lang="en-US" sz="2000" b="0" i="0" u="none" strike="noStrike">
              <a:solidFill>
                <a:schemeClr val="accent1"/>
              </a:solidFill>
              <a:latin typeface="Calibri"/>
              <a:cs typeface="Calibri"/>
            </a:rPr>
            <a:t>4,705</a:t>
          </a:fld>
          <a:endParaRPr lang="en-IN" sz="4000">
            <a:solidFill>
              <a:schemeClr val="accent1"/>
            </a:solidFill>
          </a:endParaRPr>
        </a:p>
      </xdr:txBody>
    </xdr:sp>
    <xdr:clientData/>
  </xdr:twoCellAnchor>
  <xdr:twoCellAnchor editAs="oneCell">
    <xdr:from>
      <xdr:col>10</xdr:col>
      <xdr:colOff>144780</xdr:colOff>
      <xdr:row>7</xdr:row>
      <xdr:rowOff>167640</xdr:rowOff>
    </xdr:from>
    <xdr:to>
      <xdr:col>11</xdr:col>
      <xdr:colOff>449580</xdr:colOff>
      <xdr:row>12</xdr:row>
      <xdr:rowOff>167640</xdr:rowOff>
    </xdr:to>
    <xdr:pic>
      <xdr:nvPicPr>
        <xdr:cNvPr id="49" name="Graphic 48" descr="Coins">
          <a:extLst>
            <a:ext uri="{FF2B5EF4-FFF2-40B4-BE49-F238E27FC236}">
              <a16:creationId xmlns:a16="http://schemas.microsoft.com/office/drawing/2014/main" id="{24EB35CB-F165-7099-F8EE-B40A8F6AB8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40780" y="1447800"/>
          <a:ext cx="914400" cy="914400"/>
        </a:xfrm>
        <a:prstGeom prst="rect">
          <a:avLst/>
        </a:prstGeom>
      </xdr:spPr>
    </xdr:pic>
    <xdr:clientData/>
  </xdr:twoCellAnchor>
  <xdr:twoCellAnchor>
    <xdr:from>
      <xdr:col>3</xdr:col>
      <xdr:colOff>403860</xdr:colOff>
      <xdr:row>14</xdr:row>
      <xdr:rowOff>144780</xdr:rowOff>
    </xdr:from>
    <xdr:to>
      <xdr:col>13</xdr:col>
      <xdr:colOff>457200</xdr:colOff>
      <xdr:row>35</xdr:row>
      <xdr:rowOff>30480</xdr:rowOff>
    </xdr:to>
    <xdr:sp macro="" textlink="">
      <xdr:nvSpPr>
        <xdr:cNvPr id="51" name="Rectangle: Rounded Corners 50">
          <a:extLst>
            <a:ext uri="{FF2B5EF4-FFF2-40B4-BE49-F238E27FC236}">
              <a16:creationId xmlns:a16="http://schemas.microsoft.com/office/drawing/2014/main" id="{A037CBDD-7A81-27C5-577E-365E01042847}"/>
            </a:ext>
          </a:extLst>
        </xdr:cNvPr>
        <xdr:cNvSpPr/>
      </xdr:nvSpPr>
      <xdr:spPr>
        <a:xfrm>
          <a:off x="2232660" y="2705100"/>
          <a:ext cx="6149340" cy="37261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solidFill>
            </a:rPr>
            <a:t>Unit</a:t>
          </a:r>
          <a:r>
            <a:rPr lang="en-IN" sz="1100" baseline="0">
              <a:solidFill>
                <a:schemeClr val="accent1"/>
              </a:solidFill>
            </a:rPr>
            <a:t> Sold by Product</a:t>
          </a:r>
          <a:endParaRPr lang="en-IN" sz="1100">
            <a:solidFill>
              <a:schemeClr val="accent1"/>
            </a:solidFill>
          </a:endParaRPr>
        </a:p>
      </xdr:txBody>
    </xdr:sp>
    <xdr:clientData/>
  </xdr:twoCellAnchor>
  <xdr:twoCellAnchor>
    <xdr:from>
      <xdr:col>3</xdr:col>
      <xdr:colOff>579120</xdr:colOff>
      <xdr:row>17</xdr:row>
      <xdr:rowOff>91440</xdr:rowOff>
    </xdr:from>
    <xdr:to>
      <xdr:col>13</xdr:col>
      <xdr:colOff>247650</xdr:colOff>
      <xdr:row>32</xdr:row>
      <xdr:rowOff>91440</xdr:rowOff>
    </xdr:to>
    <xdr:graphicFrame macro="">
      <xdr:nvGraphicFramePr>
        <xdr:cNvPr id="52" name="Chart 51">
          <a:extLst>
            <a:ext uri="{FF2B5EF4-FFF2-40B4-BE49-F238E27FC236}">
              <a16:creationId xmlns:a16="http://schemas.microsoft.com/office/drawing/2014/main" id="{1FAA168D-B2C0-4D94-91E6-EECA28E6A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137160</xdr:colOff>
      <xdr:row>15</xdr:row>
      <xdr:rowOff>45720</xdr:rowOff>
    </xdr:from>
    <xdr:to>
      <xdr:col>23</xdr:col>
      <xdr:colOff>365760</xdr:colOff>
      <xdr:row>35</xdr:row>
      <xdr:rowOff>15240</xdr:rowOff>
    </xdr:to>
    <xdr:sp macro="" textlink="">
      <xdr:nvSpPr>
        <xdr:cNvPr id="53" name="Rectangle: Rounded Corners 52">
          <a:extLst>
            <a:ext uri="{FF2B5EF4-FFF2-40B4-BE49-F238E27FC236}">
              <a16:creationId xmlns:a16="http://schemas.microsoft.com/office/drawing/2014/main" id="{055B50C6-B88D-8624-2E78-F80E2C5AB6D7}"/>
            </a:ext>
          </a:extLst>
        </xdr:cNvPr>
        <xdr:cNvSpPr/>
      </xdr:nvSpPr>
      <xdr:spPr>
        <a:xfrm>
          <a:off x="8671560" y="2788920"/>
          <a:ext cx="5715000" cy="36271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w="0"/>
              <a:solidFill>
                <a:schemeClr val="accent1"/>
              </a:solidFill>
              <a:effectLst>
                <a:outerShdw blurRad="38100" dist="25400" dir="5400000" algn="ctr" rotWithShape="0">
                  <a:srgbClr val="6E747A">
                    <a:alpha val="43000"/>
                  </a:srgbClr>
                </a:outerShdw>
              </a:effectLst>
            </a:rPr>
            <a:t>Total Sales by Region</a:t>
          </a:r>
          <a:endParaRPr lang="en-IN" sz="1100"/>
        </a:p>
      </xdr:txBody>
    </xdr:sp>
    <xdr:clientData/>
  </xdr:twoCellAnchor>
  <xdr:twoCellAnchor>
    <xdr:from>
      <xdr:col>14</xdr:col>
      <xdr:colOff>533400</xdr:colOff>
      <xdr:row>18</xdr:row>
      <xdr:rowOff>83820</xdr:rowOff>
    </xdr:from>
    <xdr:to>
      <xdr:col>22</xdr:col>
      <xdr:colOff>228600</xdr:colOff>
      <xdr:row>33</xdr:row>
      <xdr:rowOff>83820</xdr:rowOff>
    </xdr:to>
    <xdr:graphicFrame macro="">
      <xdr:nvGraphicFramePr>
        <xdr:cNvPr id="54" name="Chart 53">
          <a:extLst>
            <a:ext uri="{FF2B5EF4-FFF2-40B4-BE49-F238E27FC236}">
              <a16:creationId xmlns:a16="http://schemas.microsoft.com/office/drawing/2014/main" id="{1679526E-81FD-4E82-970E-E9482C843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487680</xdr:colOff>
      <xdr:row>36</xdr:row>
      <xdr:rowOff>91440</xdr:rowOff>
    </xdr:from>
    <xdr:to>
      <xdr:col>13</xdr:col>
      <xdr:colOff>510540</xdr:colOff>
      <xdr:row>55</xdr:row>
      <xdr:rowOff>121920</xdr:rowOff>
    </xdr:to>
    <xdr:sp macro="" textlink="">
      <xdr:nvSpPr>
        <xdr:cNvPr id="55" name="Rectangle: Rounded Corners 54">
          <a:extLst>
            <a:ext uri="{FF2B5EF4-FFF2-40B4-BE49-F238E27FC236}">
              <a16:creationId xmlns:a16="http://schemas.microsoft.com/office/drawing/2014/main" id="{15731033-E2C0-DF57-B6EA-6E66706EF327}"/>
            </a:ext>
          </a:extLst>
        </xdr:cNvPr>
        <xdr:cNvSpPr/>
      </xdr:nvSpPr>
      <xdr:spPr>
        <a:xfrm>
          <a:off x="2316480" y="6675120"/>
          <a:ext cx="6118860" cy="35052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Total Sales by Sales Person</a:t>
          </a:r>
        </a:p>
      </xdr:txBody>
    </xdr:sp>
    <xdr:clientData/>
  </xdr:twoCellAnchor>
  <xdr:twoCellAnchor>
    <xdr:from>
      <xdr:col>4</xdr:col>
      <xdr:colOff>563880</xdr:colOff>
      <xdr:row>39</xdr:row>
      <xdr:rowOff>15240</xdr:rowOff>
    </xdr:from>
    <xdr:to>
      <xdr:col>12</xdr:col>
      <xdr:colOff>259080</xdr:colOff>
      <xdr:row>54</xdr:row>
      <xdr:rowOff>15240</xdr:rowOff>
    </xdr:to>
    <xdr:graphicFrame macro="">
      <xdr:nvGraphicFramePr>
        <xdr:cNvPr id="56" name="Chart 55">
          <a:extLst>
            <a:ext uri="{FF2B5EF4-FFF2-40B4-BE49-F238E27FC236}">
              <a16:creationId xmlns:a16="http://schemas.microsoft.com/office/drawing/2014/main" id="{44DB624D-CFD5-4A06-B33F-42C4B88E1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236220</xdr:colOff>
      <xdr:row>36</xdr:row>
      <xdr:rowOff>68580</xdr:rowOff>
    </xdr:from>
    <xdr:to>
      <xdr:col>23</xdr:col>
      <xdr:colOff>297180</xdr:colOff>
      <xdr:row>55</xdr:row>
      <xdr:rowOff>167640</xdr:rowOff>
    </xdr:to>
    <xdr:sp macro="" textlink="">
      <xdr:nvSpPr>
        <xdr:cNvPr id="57" name="Rectangle: Rounded Corners 56">
          <a:extLst>
            <a:ext uri="{FF2B5EF4-FFF2-40B4-BE49-F238E27FC236}">
              <a16:creationId xmlns:a16="http://schemas.microsoft.com/office/drawing/2014/main" id="{6A02FD5A-5D12-860D-EAD6-C8EED7A448C0}"/>
            </a:ext>
          </a:extLst>
        </xdr:cNvPr>
        <xdr:cNvSpPr/>
      </xdr:nvSpPr>
      <xdr:spPr>
        <a:xfrm>
          <a:off x="8770620" y="6652260"/>
          <a:ext cx="5547360" cy="35737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solidFill>
            </a:rPr>
            <a:t>Total</a:t>
          </a:r>
          <a:r>
            <a:rPr lang="en-IN" sz="1100" baseline="0">
              <a:solidFill>
                <a:schemeClr val="accent1"/>
              </a:solidFill>
            </a:rPr>
            <a:t> Sales by Product</a:t>
          </a:r>
          <a:endParaRPr lang="en-IN" sz="1100">
            <a:solidFill>
              <a:schemeClr val="accent1"/>
            </a:solidFill>
          </a:endParaRPr>
        </a:p>
      </xdr:txBody>
    </xdr:sp>
    <xdr:clientData/>
  </xdr:twoCellAnchor>
  <xdr:twoCellAnchor>
    <xdr:from>
      <xdr:col>15</xdr:col>
      <xdr:colOff>182880</xdr:colOff>
      <xdr:row>38</xdr:row>
      <xdr:rowOff>144780</xdr:rowOff>
    </xdr:from>
    <xdr:to>
      <xdr:col>22</xdr:col>
      <xdr:colOff>487680</xdr:colOff>
      <xdr:row>53</xdr:row>
      <xdr:rowOff>144780</xdr:rowOff>
    </xdr:to>
    <xdr:graphicFrame macro="">
      <xdr:nvGraphicFramePr>
        <xdr:cNvPr id="58" name="Chart 57">
          <a:extLst>
            <a:ext uri="{FF2B5EF4-FFF2-40B4-BE49-F238E27FC236}">
              <a16:creationId xmlns:a16="http://schemas.microsoft.com/office/drawing/2014/main" id="{2DD341FA-746C-46EE-A0ED-8E3F478DA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3.954759259257" createdVersion="8" refreshedVersion="8" minRefreshableVersion="3" recordCount="50" xr:uid="{A86370D8-F42C-4FDE-B0D6-C6C2300CA382}">
  <cacheSource type="worksheet">
    <worksheetSource name="Table2"/>
  </cacheSource>
  <cacheFields count="9">
    <cacheField name="Date" numFmtId="0">
      <sharedItems containsDate="1" containsMixedTypes="1" minDate="2020-01-10T00:00:00" maxDate="2021-10-09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5">
      <sharedItems containsSemiMixedTypes="0" containsString="0" containsNumber="1" containsInteger="1" minValue="600" maxValue="10000"/>
    </cacheField>
    <cacheField name="Cost of Goods" numFmtId="0">
      <sharedItems containsSemiMixedTypes="0" containsString="0" containsNumber="1" containsInteger="1" minValue="400" maxValue="7000"/>
    </cacheField>
    <cacheField name="Total Sales" numFmtId="0">
      <sharedItems containsSemiMixedTypes="0" containsString="0" containsNumber="1" containsInteger="1" minValue="34200" maxValue="1270000"/>
    </cacheField>
    <cacheField name="Profit" numFmtId="2">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741432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19/2021"/>
    <x v="0"/>
    <x v="0"/>
    <x v="0"/>
    <n v="84"/>
    <n v="6000"/>
    <n v="4000"/>
    <n v="504000"/>
    <n v="168000"/>
  </r>
  <r>
    <d v="2021-07-09T00:00:00"/>
    <x v="1"/>
    <x v="1"/>
    <x v="1"/>
    <n v="128"/>
    <n v="3500"/>
    <n v="2500"/>
    <n v="448000"/>
    <n v="128000"/>
  </r>
  <r>
    <d v="2021-03-02T00:00:00"/>
    <x v="2"/>
    <x v="2"/>
    <x v="2"/>
    <n v="136"/>
    <n v="1200"/>
    <n v="800"/>
    <n v="163200"/>
    <n v="54400"/>
  </r>
  <r>
    <d v="2020-11-09T00:00:00"/>
    <x v="3"/>
    <x v="3"/>
    <x v="3"/>
    <n v="91"/>
    <n v="1000"/>
    <n v="700"/>
    <n v="91000"/>
    <n v="27300"/>
  </r>
  <r>
    <s v="9/23/2021"/>
    <x v="4"/>
    <x v="0"/>
    <x v="4"/>
    <n v="110"/>
    <n v="4000"/>
    <n v="3000"/>
    <n v="440000"/>
    <n v="110000"/>
  </r>
  <r>
    <d v="2020-01-10T00:00:00"/>
    <x v="5"/>
    <x v="1"/>
    <x v="2"/>
    <n v="51"/>
    <n v="1200"/>
    <n v="800"/>
    <n v="61200"/>
    <n v="20400"/>
  </r>
  <r>
    <d v="2021-05-08T00:00:00"/>
    <x v="6"/>
    <x v="3"/>
    <x v="3"/>
    <n v="78"/>
    <n v="1000"/>
    <n v="700"/>
    <n v="78000"/>
    <n v="23400"/>
  </r>
  <r>
    <d v="2020-06-11T00:00:00"/>
    <x v="7"/>
    <x v="2"/>
    <x v="0"/>
    <n v="146"/>
    <n v="6000"/>
    <n v="4000"/>
    <n v="876000"/>
    <n v="292000"/>
  </r>
  <r>
    <s v="1/27/2021"/>
    <x v="8"/>
    <x v="0"/>
    <x v="5"/>
    <n v="101"/>
    <n v="600"/>
    <n v="400"/>
    <n v="60600"/>
    <n v="20200"/>
  </r>
  <r>
    <d v="2021-03-09T00:00:00"/>
    <x v="9"/>
    <x v="2"/>
    <x v="0"/>
    <n v="52"/>
    <n v="6000"/>
    <n v="4000"/>
    <n v="312000"/>
    <n v="104000"/>
  </r>
  <r>
    <s v="9/30/2021"/>
    <x v="9"/>
    <x v="1"/>
    <x v="2"/>
    <n v="55"/>
    <n v="1200"/>
    <n v="800"/>
    <n v="66000"/>
    <n v="22000"/>
  </r>
  <r>
    <d v="2020-10-09T00:00:00"/>
    <x v="9"/>
    <x v="2"/>
    <x v="3"/>
    <n v="137"/>
    <n v="1000"/>
    <n v="700"/>
    <n v="137000"/>
    <n v="41100"/>
  </r>
  <r>
    <s v="7/27/2021"/>
    <x v="7"/>
    <x v="2"/>
    <x v="1"/>
    <n v="96"/>
    <n v="3500"/>
    <n v="2500"/>
    <n v="336000"/>
    <n v="96000"/>
  </r>
  <r>
    <d v="2020-09-10T00:00:00"/>
    <x v="8"/>
    <x v="1"/>
    <x v="4"/>
    <n v="52"/>
    <n v="4000"/>
    <n v="3000"/>
    <n v="208000"/>
    <n v="52000"/>
  </r>
  <r>
    <d v="2021-06-04T00:00:00"/>
    <x v="3"/>
    <x v="0"/>
    <x v="1"/>
    <n v="76"/>
    <n v="3500"/>
    <n v="2500"/>
    <n v="266000"/>
    <n v="76000"/>
  </r>
  <r>
    <s v="6/15/2021"/>
    <x v="1"/>
    <x v="3"/>
    <x v="4"/>
    <n v="145"/>
    <n v="4000"/>
    <n v="3000"/>
    <n v="580000"/>
    <n v="145000"/>
  </r>
  <r>
    <d v="2020-09-09T00:00:00"/>
    <x v="0"/>
    <x v="2"/>
    <x v="5"/>
    <n v="83"/>
    <n v="600"/>
    <n v="400"/>
    <n v="49800"/>
    <n v="16600"/>
  </r>
  <r>
    <s v="8/13/2021"/>
    <x v="4"/>
    <x v="2"/>
    <x v="3"/>
    <n v="91"/>
    <n v="1000"/>
    <n v="700"/>
    <n v="91000"/>
    <n v="27300"/>
  </r>
  <r>
    <s v="8/27/2020"/>
    <x v="5"/>
    <x v="0"/>
    <x v="6"/>
    <n v="108"/>
    <n v="10000"/>
    <n v="7000"/>
    <n v="1080000"/>
    <n v="324000"/>
  </r>
  <r>
    <d v="2021-07-04T00:00:00"/>
    <x v="2"/>
    <x v="3"/>
    <x v="4"/>
    <n v="144"/>
    <n v="4000"/>
    <n v="3000"/>
    <n v="576000"/>
    <n v="144000"/>
  </r>
  <r>
    <d v="2020-08-06T00:00:00"/>
    <x v="4"/>
    <x v="2"/>
    <x v="5"/>
    <n v="92"/>
    <n v="600"/>
    <n v="400"/>
    <n v="55200"/>
    <n v="18400"/>
  </r>
  <r>
    <s v="12/21/2021"/>
    <x v="7"/>
    <x v="0"/>
    <x v="0"/>
    <n v="71"/>
    <n v="6000"/>
    <n v="4000"/>
    <n v="426000"/>
    <n v="142000"/>
  </r>
  <r>
    <d v="2021-10-08T00:00:00"/>
    <x v="0"/>
    <x v="1"/>
    <x v="5"/>
    <n v="103"/>
    <n v="600"/>
    <n v="400"/>
    <n v="61800"/>
    <n v="20600"/>
  </r>
  <r>
    <d v="2021-02-12T00:00:00"/>
    <x v="9"/>
    <x v="3"/>
    <x v="3"/>
    <n v="55"/>
    <n v="1000"/>
    <n v="700"/>
    <n v="55000"/>
    <n v="16500"/>
  </r>
  <r>
    <s v="8/30/2021"/>
    <x v="5"/>
    <x v="1"/>
    <x v="4"/>
    <n v="93"/>
    <n v="4000"/>
    <n v="3000"/>
    <n v="372000"/>
    <n v="93000"/>
  </r>
  <r>
    <s v="5/20/2020"/>
    <x v="2"/>
    <x v="2"/>
    <x v="5"/>
    <n v="143"/>
    <n v="600"/>
    <n v="400"/>
    <n v="85800"/>
    <n v="28600"/>
  </r>
  <r>
    <s v="9/13/2021"/>
    <x v="6"/>
    <x v="0"/>
    <x v="1"/>
    <n v="143"/>
    <n v="3500"/>
    <n v="2500"/>
    <n v="500500"/>
    <n v="143000"/>
  </r>
  <r>
    <s v="10/27/2021"/>
    <x v="8"/>
    <x v="3"/>
    <x v="5"/>
    <n v="99"/>
    <n v="600"/>
    <n v="400"/>
    <n v="59400"/>
    <n v="19800"/>
  </r>
  <r>
    <s v="12/22/2020"/>
    <x v="3"/>
    <x v="0"/>
    <x v="3"/>
    <n v="120"/>
    <n v="1000"/>
    <n v="700"/>
    <n v="120000"/>
    <n v="36000"/>
  </r>
  <r>
    <s v="7/28/2021"/>
    <x v="1"/>
    <x v="2"/>
    <x v="1"/>
    <n v="66"/>
    <n v="3500"/>
    <n v="2500"/>
    <n v="231000"/>
    <n v="66000"/>
  </r>
  <r>
    <s v="9/29/2020"/>
    <x v="8"/>
    <x v="3"/>
    <x v="2"/>
    <n v="88"/>
    <n v="1200"/>
    <n v="800"/>
    <n v="105600"/>
    <n v="35200"/>
  </r>
  <r>
    <s v="10/22/2020"/>
    <x v="3"/>
    <x v="1"/>
    <x v="6"/>
    <n v="127"/>
    <n v="10000"/>
    <n v="7000"/>
    <n v="1270000"/>
    <n v="381000"/>
  </r>
  <r>
    <s v="5/19/2020"/>
    <x v="4"/>
    <x v="0"/>
    <x v="4"/>
    <n v="67"/>
    <n v="4000"/>
    <n v="3000"/>
    <n v="268000"/>
    <n v="67000"/>
  </r>
  <r>
    <d v="2021-06-12T00:00:00"/>
    <x v="1"/>
    <x v="1"/>
    <x v="2"/>
    <n v="67"/>
    <n v="1200"/>
    <n v="800"/>
    <n v="80400"/>
    <n v="26800"/>
  </r>
  <r>
    <s v="8/26/2020"/>
    <x v="9"/>
    <x v="2"/>
    <x v="3"/>
    <n v="149"/>
    <n v="1000"/>
    <n v="700"/>
    <n v="149000"/>
    <n v="44700"/>
  </r>
  <r>
    <d v="2021-01-07T00:00:00"/>
    <x v="4"/>
    <x v="3"/>
    <x v="5"/>
    <n v="104"/>
    <n v="600"/>
    <n v="400"/>
    <n v="62400"/>
    <n v="20800"/>
  </r>
  <r>
    <s v="7/27/2021"/>
    <x v="7"/>
    <x v="0"/>
    <x v="5"/>
    <n v="57"/>
    <n v="600"/>
    <n v="400"/>
    <n v="34200"/>
    <n v="11400"/>
  </r>
  <r>
    <d v="2020-05-10T00:00:00"/>
    <x v="2"/>
    <x v="1"/>
    <x v="5"/>
    <n v="90"/>
    <n v="600"/>
    <n v="400"/>
    <n v="54000"/>
    <n v="18000"/>
  </r>
  <r>
    <d v="2020-02-09T00:00:00"/>
    <x v="5"/>
    <x v="2"/>
    <x v="5"/>
    <n v="67"/>
    <n v="600"/>
    <n v="400"/>
    <n v="40200"/>
    <n v="13400"/>
  </r>
  <r>
    <d v="2021-02-09T00:00:00"/>
    <x v="0"/>
    <x v="3"/>
    <x v="4"/>
    <n v="127"/>
    <n v="4000"/>
    <n v="3000"/>
    <n v="508000"/>
    <n v="127000"/>
  </r>
  <r>
    <s v="4/13/2021"/>
    <x v="5"/>
    <x v="0"/>
    <x v="3"/>
    <n v="108"/>
    <n v="1000"/>
    <n v="700"/>
    <n v="108000"/>
    <n v="32400"/>
  </r>
  <r>
    <d v="2021-06-05T00:00:00"/>
    <x v="2"/>
    <x v="1"/>
    <x v="1"/>
    <n v="66"/>
    <n v="3500"/>
    <n v="2500"/>
    <n v="231000"/>
    <n v="66000"/>
  </r>
  <r>
    <s v="1/15/2021"/>
    <x v="0"/>
    <x v="3"/>
    <x v="0"/>
    <n v="78"/>
    <n v="6000"/>
    <n v="4000"/>
    <n v="468000"/>
    <n v="156000"/>
  </r>
  <r>
    <s v="8/27/2020"/>
    <x v="7"/>
    <x v="2"/>
    <x v="3"/>
    <n v="69"/>
    <n v="1000"/>
    <n v="700"/>
    <n v="69000"/>
    <n v="20700"/>
  </r>
  <r>
    <d v="2021-05-02T00:00:00"/>
    <x v="4"/>
    <x v="0"/>
    <x v="2"/>
    <n v="59"/>
    <n v="1200"/>
    <n v="800"/>
    <n v="70800"/>
    <n v="23600"/>
  </r>
  <r>
    <s v="11/17/2021"/>
    <x v="9"/>
    <x v="2"/>
    <x v="5"/>
    <n v="109"/>
    <n v="600"/>
    <n v="400"/>
    <n v="65400"/>
    <n v="21800"/>
  </r>
  <r>
    <s v="12/28/2020"/>
    <x v="8"/>
    <x v="1"/>
    <x v="4"/>
    <n v="61"/>
    <n v="4000"/>
    <n v="3000"/>
    <n v="244000"/>
    <n v="61000"/>
  </r>
  <r>
    <s v="10/27/2021"/>
    <x v="4"/>
    <x v="3"/>
    <x v="5"/>
    <n v="130"/>
    <n v="600"/>
    <n v="400"/>
    <n v="78000"/>
    <n v="26000"/>
  </r>
  <r>
    <d v="2021-02-11T00:00:00"/>
    <x v="3"/>
    <x v="2"/>
    <x v="1"/>
    <n v="60"/>
    <n v="3500"/>
    <n v="2500"/>
    <n v="210000"/>
    <n v="60000"/>
  </r>
  <r>
    <d v="2020-07-05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5243A-7046-4E8D-9284-D272D6677A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14" firstHeaderRow="1" firstDataRow="1" firstDataCol="1"/>
  <pivotFields count="9">
    <pivotField showAll="0"/>
    <pivotField axis="axisRow" showAll="0">
      <items count="11">
        <item x="0"/>
        <item x="8"/>
        <item x="3"/>
        <item x="5"/>
        <item x="7"/>
        <item x="2"/>
        <item x="1"/>
        <item x="4"/>
        <item x="9"/>
        <item x="6"/>
        <item t="default"/>
      </items>
    </pivotField>
    <pivotField showAll="0"/>
    <pivotField showAll="0">
      <items count="8">
        <item x="2"/>
        <item x="1"/>
        <item x="5"/>
        <item x="3"/>
        <item x="6"/>
        <item x="4"/>
        <item x="0"/>
        <item t="default"/>
      </items>
    </pivotField>
    <pivotField showAll="0"/>
    <pivotField numFmtId="5" showAll="0"/>
    <pivotField showAll="0"/>
    <pivotField dataField="1" showAll="0"/>
    <pivotField numFmtId="2"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6"/>
  </dataFields>
  <chartFormats count="2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6"/>
          </reference>
        </references>
      </pivotArea>
    </chartFormat>
    <chartFormat chart="7" format="2">
      <pivotArea type="data" outline="0" fieldPosition="0">
        <references count="2">
          <reference field="4294967294" count="1" selected="0">
            <x v="0"/>
          </reference>
          <reference field="1" count="1" selected="0">
            <x v="7"/>
          </reference>
        </references>
      </pivotArea>
    </chartFormat>
    <chartFormat chart="7" format="3">
      <pivotArea type="data" outline="0" fieldPosition="0">
        <references count="2">
          <reference field="4294967294" count="1" selected="0">
            <x v="0"/>
          </reference>
          <reference field="1" count="1" selected="0">
            <x v="9"/>
          </reference>
        </references>
      </pivotArea>
    </chartFormat>
    <chartFormat chart="7" format="4">
      <pivotArea type="data" outline="0" fieldPosition="0">
        <references count="2">
          <reference field="4294967294" count="1" selected="0">
            <x v="0"/>
          </reference>
          <reference field="1" count="1" selected="0">
            <x v="8"/>
          </reference>
        </references>
      </pivotArea>
    </chartFormat>
    <chartFormat chart="7" format="5">
      <pivotArea type="data" outline="0" fieldPosition="0">
        <references count="2">
          <reference field="4294967294" count="1" selected="0">
            <x v="0"/>
          </reference>
          <reference field="1" count="1" selected="0">
            <x v="5"/>
          </reference>
        </references>
      </pivotArea>
    </chartFormat>
    <chartFormat chart="7" format="6">
      <pivotArea type="data" outline="0" fieldPosition="0">
        <references count="2">
          <reference field="4294967294" count="1" selected="0">
            <x v="0"/>
          </reference>
          <reference field="1" count="1" selected="0">
            <x v="4"/>
          </reference>
        </references>
      </pivotArea>
    </chartFormat>
    <chartFormat chart="7" format="7">
      <pivotArea type="data" outline="0" fieldPosition="0">
        <references count="2">
          <reference field="4294967294" count="1" selected="0">
            <x v="0"/>
          </reference>
          <reference field="1" count="1" selected="0">
            <x v="3"/>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0"/>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 count="1" selected="0">
            <x v="0"/>
          </reference>
        </references>
      </pivotArea>
    </chartFormat>
    <chartFormat chart="11" format="24">
      <pivotArea type="data" outline="0" fieldPosition="0">
        <references count="2">
          <reference field="4294967294" count="1" selected="0">
            <x v="0"/>
          </reference>
          <reference field="1" count="1" selected="0">
            <x v="1"/>
          </reference>
        </references>
      </pivotArea>
    </chartFormat>
    <chartFormat chart="11" format="25">
      <pivotArea type="data" outline="0" fieldPosition="0">
        <references count="2">
          <reference field="4294967294" count="1" selected="0">
            <x v="0"/>
          </reference>
          <reference field="1" count="1" selected="0">
            <x v="2"/>
          </reference>
        </references>
      </pivotArea>
    </chartFormat>
    <chartFormat chart="11" format="26">
      <pivotArea type="data" outline="0" fieldPosition="0">
        <references count="2">
          <reference field="4294967294" count="1" selected="0">
            <x v="0"/>
          </reference>
          <reference field="1" count="1" selected="0">
            <x v="3"/>
          </reference>
        </references>
      </pivotArea>
    </chartFormat>
    <chartFormat chart="11" format="27">
      <pivotArea type="data" outline="0" fieldPosition="0">
        <references count="2">
          <reference field="4294967294" count="1" selected="0">
            <x v="0"/>
          </reference>
          <reference field="1" count="1" selected="0">
            <x v="4"/>
          </reference>
        </references>
      </pivotArea>
    </chartFormat>
    <chartFormat chart="11" format="28">
      <pivotArea type="data" outline="0" fieldPosition="0">
        <references count="2">
          <reference field="4294967294" count="1" selected="0">
            <x v="0"/>
          </reference>
          <reference field="1" count="1" selected="0">
            <x v="5"/>
          </reference>
        </references>
      </pivotArea>
    </chartFormat>
    <chartFormat chart="11" format="29">
      <pivotArea type="data" outline="0" fieldPosition="0">
        <references count="2">
          <reference field="4294967294" count="1" selected="0">
            <x v="0"/>
          </reference>
          <reference field="1" count="1" selected="0">
            <x v="6"/>
          </reference>
        </references>
      </pivotArea>
    </chartFormat>
    <chartFormat chart="11" format="30">
      <pivotArea type="data" outline="0" fieldPosition="0">
        <references count="2">
          <reference field="4294967294" count="1" selected="0">
            <x v="0"/>
          </reference>
          <reference field="1" count="1" selected="0">
            <x v="7"/>
          </reference>
        </references>
      </pivotArea>
    </chartFormat>
    <chartFormat chart="11" format="31">
      <pivotArea type="data" outline="0" fieldPosition="0">
        <references count="2">
          <reference field="4294967294" count="1" selected="0">
            <x v="0"/>
          </reference>
          <reference field="1" count="1" selected="0">
            <x v="8"/>
          </reference>
        </references>
      </pivotArea>
    </chartFormat>
    <chartFormat chart="11" format="3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2C2C53-08EC-43C8-92FA-D7E2AF07A1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5" firstHeaderRow="1" firstDataRow="1" firstDataCol="1"/>
  <pivotFields count="9">
    <pivotField showAll="0"/>
    <pivotField showAll="0">
      <items count="11">
        <item h="1" x="0"/>
        <item h="1" x="8"/>
        <item h="1" x="3"/>
        <item x="5"/>
        <item h="1" x="7"/>
        <item h="1" x="2"/>
        <item h="1" x="1"/>
        <item h="1" x="4"/>
        <item h="1" x="9"/>
        <item h="1" x="6"/>
        <item t="default"/>
      </items>
    </pivotField>
    <pivotField showAll="0">
      <items count="5">
        <item x="1"/>
        <item x="3"/>
        <item x="2"/>
        <item x="0"/>
        <item t="default"/>
      </items>
    </pivotField>
    <pivotField axis="axisRow" showAll="0">
      <items count="8">
        <item h="1" x="2"/>
        <item h="1" x="1"/>
        <item h="1" x="5"/>
        <item h="1" x="3"/>
        <item h="1" x="6"/>
        <item x="4"/>
        <item h="1" x="0"/>
        <item t="default"/>
      </items>
    </pivotField>
    <pivotField showAll="0"/>
    <pivotField numFmtId="5" showAll="0"/>
    <pivotField showAll="0"/>
    <pivotField dataField="1" showAll="0"/>
    <pivotField numFmtId="2" showAll="0"/>
  </pivotFields>
  <rowFields count="1">
    <field x="3"/>
  </rowFields>
  <rowItems count="2">
    <i>
      <x v="5"/>
    </i>
    <i t="grand">
      <x/>
    </i>
  </rowItems>
  <colItems count="1">
    <i/>
  </colItems>
  <dataFields count="1">
    <dataField name="Sum of Total Sales" fld="7" baseField="3" baseItem="0" numFmtId="165"/>
  </dataFields>
  <chartFormats count="9">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5"/>
          </reference>
        </references>
      </pivotArea>
    </chartFormat>
    <chartFormat chart="10" format="7">
      <pivotArea type="data" outline="0" fieldPosition="0">
        <references count="2">
          <reference field="4294967294" count="1" selected="0">
            <x v="0"/>
          </reference>
          <reference field="3" count="1" selected="0">
            <x v="6"/>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38F30-7825-40D2-B28C-153F9BEB25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3:K11" firstHeaderRow="1" firstDataRow="1" firstDataCol="1"/>
  <pivotFields count="9">
    <pivotField showAll="0"/>
    <pivotField showAll="0"/>
    <pivotField showAll="0"/>
    <pivotField axis="axisRow" showAll="0">
      <items count="8">
        <item x="2"/>
        <item x="1"/>
        <item x="5"/>
        <item x="3"/>
        <item x="6"/>
        <item x="4"/>
        <item x="0"/>
        <item t="default"/>
      </items>
    </pivotField>
    <pivotField dataField="1" showAll="0"/>
    <pivotField numFmtId="5" showAll="0"/>
    <pivotField showAll="0"/>
    <pivotField showAll="0"/>
    <pivotField numFmtId="2"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D42A3-3ABD-47F2-B5D9-3DFDF3DDF9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9">
    <pivotField showAll="0"/>
    <pivotField showAll="0"/>
    <pivotField axis="axisRow" showAll="0">
      <items count="5">
        <item x="1"/>
        <item x="3"/>
        <item x="2"/>
        <item x="0"/>
        <item t="default"/>
      </items>
    </pivotField>
    <pivotField showAll="0">
      <items count="8">
        <item x="2"/>
        <item x="1"/>
        <item x="5"/>
        <item x="3"/>
        <item x="6"/>
        <item x="4"/>
        <item x="0"/>
        <item t="default"/>
      </items>
    </pivotField>
    <pivotField showAll="0"/>
    <pivotField numFmtId="5" showAll="0"/>
    <pivotField showAll="0"/>
    <pivotField dataField="1" showAll="0"/>
    <pivotField numFmtId="2" showAll="0"/>
  </pivotFields>
  <rowFields count="1">
    <field x="2"/>
  </rowFields>
  <rowItems count="5">
    <i>
      <x/>
    </i>
    <i>
      <x v="1"/>
    </i>
    <i>
      <x v="2"/>
    </i>
    <i>
      <x v="3"/>
    </i>
    <i t="grand">
      <x/>
    </i>
  </rowItems>
  <colItems count="1">
    <i/>
  </colItems>
  <dataFields count="1">
    <dataField name="Sum of Total Sales" fld="7" baseField="2" baseItem="0" numFmtId="166"/>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D51EDC7-971D-4711-92EC-23D880B668DE}" sourceName="Sales Person">
  <pivotTables>
    <pivotTable tabId="2" name="PivotTable1"/>
  </pivotTables>
  <data>
    <tabular pivotCacheId="1741432357">
      <items count="10">
        <i x="0"/>
        <i x="8"/>
        <i x="5" s="1"/>
        <i x="2"/>
        <i x="1"/>
        <i x="4"/>
        <i x="3" nd="1"/>
        <i x="7" nd="1"/>
        <i x="9"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8B4816-BA10-44C3-906F-3FC03CF84D50}" sourceName="Region">
  <pivotTables>
    <pivotTable tabId="2" name="PivotTable1"/>
  </pivotTables>
  <data>
    <tabular pivotCacheId="1741432357">
      <items count="4">
        <i x="1" s="1"/>
        <i x="3" s="1" nd="1"/>
        <i x="2"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C47438-FB3A-4D85-B528-FC4F8939F505}" sourceName="Product">
  <pivotTables>
    <pivotTable tabId="2" name="PivotTable1"/>
  </pivotTables>
  <data>
    <tabular pivotCacheId="1741432357">
      <items count="7">
        <i x="2"/>
        <i x="5"/>
        <i x="3"/>
        <i x="6"/>
        <i x="4" s="1"/>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42E3402A-633B-4A8D-AA7B-854BC3DBAA54}" cache="Slicer_Sales_Person" caption="Sales Person" rowHeight="234950"/>
  <slicer name="Region" xr10:uid="{2E9721C6-7390-4D96-87FA-65B8E6C7A086}" cache="Slicer_Region" caption="Region" columnCount="2" showCaption="0" rowHeight="234950"/>
  <slicer name="Product" xr10:uid="{3720C69C-CD7B-4F11-8910-058BCFEE00D0}"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CE8D91A5-8394-46C9-9BC6-8D9E355F7191}" cache="Slicer_Sales_Person" caption="Sales Person" rowHeight="360000"/>
  <slicer name="Region 1" xr10:uid="{27EF8BA5-83FD-4B37-8F28-623FAC12398F}" cache="Slicer_Region" caption="Region" columnCount="2" showCaption="0" style="SlicerStyleDark1" rowHeight="432000"/>
  <slicer name="Product 1" xr10:uid="{A5722D20-720F-4A02-9DD1-F83035DE948F}" cache="Slicer_Product" caption="Product"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0AF7BC-23AA-4A77-BD02-68CF4D8FA676}" name="Table2" displayName="Table2" ref="A1:I51" totalsRowShown="0" headerRowDxfId="12" dataDxfId="10" headerRowBorderDxfId="11" tableBorderDxfId="9">
  <autoFilter ref="A1:I51" xr:uid="{F90AF7BC-23AA-4A77-BD02-68CF4D8FA676}"/>
  <tableColumns count="9">
    <tableColumn id="1" xr3:uid="{473E49FA-97DA-44F3-8B72-985303BD4B88}" name="Date" dataDxfId="8"/>
    <tableColumn id="2" xr3:uid="{BBD8DCFD-83F9-4FA4-B35D-9C0E25DF2143}" name="Sales Person" dataDxfId="7"/>
    <tableColumn id="3" xr3:uid="{451EA50F-2594-4A9A-B976-54FB188F6F79}" name="Region" dataDxfId="6"/>
    <tableColumn id="4" xr3:uid="{41A46B8F-F5DE-4C43-8AB8-69E1A2DB0CF3}" name="Product" dataDxfId="5"/>
    <tableColumn id="5" xr3:uid="{D8C53C57-E835-4615-B184-C31B21BCA3E2}" name="Units Sold" dataDxfId="4"/>
    <tableColumn id="6" xr3:uid="{076A5A5E-06CC-41A7-8DC6-BFAB9828E8D7}" name="Unit Price" dataDxfId="3"/>
    <tableColumn id="7" xr3:uid="{D8BB54FD-24E1-4403-A307-51CD910F6390}" name="Cost of Goods" dataDxfId="2"/>
    <tableColumn id="8" xr3:uid="{64530A6C-3B99-4B1E-AF89-B8690DCBC578}" name="Total Sales" dataDxfId="1"/>
    <tableColumn id="9" xr3:uid="{F519B380-47BD-4D6F-91A9-BE00BA95C599}" name="Profit" dataDxfId="0">
      <calculatedColumnFormula xml:space="preserve"> H2-(E2*G2)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BC92-389C-4C97-86A0-422944BFEC09}">
  <dimension ref="A3:K14"/>
  <sheetViews>
    <sheetView topLeftCell="D16" workbookViewId="0">
      <selection activeCell="Z13" sqref="Z13"/>
    </sheetView>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7" max="7" width="12.5546875" bestFit="1" customWidth="1"/>
    <col min="8" max="9" width="16.44140625" bestFit="1" customWidth="1"/>
    <col min="10" max="10" width="14.21875" customWidth="1"/>
    <col min="11" max="11" width="17" customWidth="1"/>
    <col min="12" max="12" width="12.5546875" bestFit="1" customWidth="1"/>
    <col min="13" max="13" width="16" bestFit="1" customWidth="1"/>
  </cols>
  <sheetData>
    <row r="3" spans="1:11" x14ac:dyDescent="0.3">
      <c r="A3" s="14" t="s">
        <v>57</v>
      </c>
      <c r="B3" t="s">
        <v>59</v>
      </c>
      <c r="D3" s="14" t="s">
        <v>57</v>
      </c>
      <c r="E3" t="s">
        <v>59</v>
      </c>
      <c r="G3" s="14" t="s">
        <v>57</v>
      </c>
      <c r="H3" t="s">
        <v>59</v>
      </c>
      <c r="J3" s="14" t="s">
        <v>57</v>
      </c>
      <c r="K3" t="s">
        <v>60</v>
      </c>
    </row>
    <row r="4" spans="1:11" x14ac:dyDescent="0.3">
      <c r="A4" s="15" t="s">
        <v>23</v>
      </c>
      <c r="B4" s="16">
        <v>372000</v>
      </c>
      <c r="D4" s="15" t="s">
        <v>9</v>
      </c>
      <c r="E4" s="17">
        <v>1591600</v>
      </c>
      <c r="G4" s="15" t="s">
        <v>13</v>
      </c>
      <c r="H4" s="17">
        <v>3534400</v>
      </c>
      <c r="J4" s="15" t="s">
        <v>17</v>
      </c>
      <c r="K4">
        <v>456</v>
      </c>
    </row>
    <row r="5" spans="1:11" x14ac:dyDescent="0.3">
      <c r="A5" s="15" t="s">
        <v>58</v>
      </c>
      <c r="B5" s="16">
        <v>372000</v>
      </c>
      <c r="D5" s="15" t="s">
        <v>28</v>
      </c>
      <c r="E5" s="17">
        <v>677600</v>
      </c>
      <c r="G5" s="15" t="s">
        <v>19</v>
      </c>
      <c r="H5" s="17">
        <v>2661400</v>
      </c>
      <c r="J5" s="15" t="s">
        <v>14</v>
      </c>
      <c r="K5">
        <v>635</v>
      </c>
    </row>
    <row r="6" spans="1:11" x14ac:dyDescent="0.3">
      <c r="D6" s="15" t="s">
        <v>18</v>
      </c>
      <c r="E6" s="17">
        <v>1957000</v>
      </c>
      <c r="G6" s="15" t="s">
        <v>16</v>
      </c>
      <c r="H6" s="17">
        <v>2870600</v>
      </c>
      <c r="J6" s="15" t="s">
        <v>29</v>
      </c>
      <c r="K6">
        <v>1178</v>
      </c>
    </row>
    <row r="7" spans="1:11" x14ac:dyDescent="0.3">
      <c r="D7" s="15" t="s">
        <v>24</v>
      </c>
      <c r="E7" s="17">
        <v>1661400</v>
      </c>
      <c r="G7" s="15" t="s">
        <v>10</v>
      </c>
      <c r="H7" s="17">
        <v>3878100</v>
      </c>
      <c r="J7" s="15" t="s">
        <v>20</v>
      </c>
      <c r="K7">
        <v>898</v>
      </c>
    </row>
    <row r="8" spans="1:11" x14ac:dyDescent="0.3">
      <c r="D8" s="15" t="s">
        <v>26</v>
      </c>
      <c r="E8" s="17">
        <v>1741200</v>
      </c>
      <c r="G8" s="15" t="s">
        <v>58</v>
      </c>
      <c r="H8" s="17">
        <v>12944500</v>
      </c>
      <c r="J8" s="15" t="s">
        <v>36</v>
      </c>
      <c r="K8">
        <v>235</v>
      </c>
    </row>
    <row r="9" spans="1:11" x14ac:dyDescent="0.3">
      <c r="D9" s="15" t="s">
        <v>15</v>
      </c>
      <c r="E9" s="17">
        <v>1110000</v>
      </c>
      <c r="J9" s="15" t="s">
        <v>23</v>
      </c>
      <c r="K9">
        <v>799</v>
      </c>
    </row>
    <row r="10" spans="1:11" x14ac:dyDescent="0.3">
      <c r="D10" s="15" t="s">
        <v>12</v>
      </c>
      <c r="E10" s="17">
        <v>1777400</v>
      </c>
      <c r="J10" s="15" t="s">
        <v>11</v>
      </c>
      <c r="K10">
        <v>504</v>
      </c>
    </row>
    <row r="11" spans="1:11" x14ac:dyDescent="0.3">
      <c r="D11" s="15" t="s">
        <v>22</v>
      </c>
      <c r="E11" s="17">
        <v>1065400</v>
      </c>
      <c r="J11" s="15" t="s">
        <v>58</v>
      </c>
      <c r="K11">
        <v>4705</v>
      </c>
    </row>
    <row r="12" spans="1:11" x14ac:dyDescent="0.3">
      <c r="D12" s="15" t="s">
        <v>30</v>
      </c>
      <c r="E12" s="17">
        <v>784400</v>
      </c>
    </row>
    <row r="13" spans="1:11" x14ac:dyDescent="0.3">
      <c r="D13" s="15" t="s">
        <v>25</v>
      </c>
      <c r="E13" s="17">
        <v>578500</v>
      </c>
    </row>
    <row r="14" spans="1:11" x14ac:dyDescent="0.3">
      <c r="D14" s="15" t="s">
        <v>58</v>
      </c>
      <c r="E14" s="17">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84EAE-5D17-4D8C-8AF5-0C1060670CB2}">
  <dimension ref="E19:I44"/>
  <sheetViews>
    <sheetView showGridLines="0" showRowColHeaders="0" tabSelected="1" topLeftCell="A13" zoomScale="66" zoomScaleNormal="66" workbookViewId="0">
      <selection activeCell="E44" sqref="E44"/>
    </sheetView>
  </sheetViews>
  <sheetFormatPr defaultRowHeight="14.4" x14ac:dyDescent="0.3"/>
  <sheetData>
    <row r="19" spans="8:9" x14ac:dyDescent="0.3">
      <c r="H19" s="19"/>
    </row>
    <row r="26" spans="8:9" x14ac:dyDescent="0.3">
      <c r="I26" t="s">
        <v>61</v>
      </c>
    </row>
    <row r="44" spans="5:5" x14ac:dyDescent="0.3">
      <c r="E44" t="s">
        <v>61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BBD6-DCB3-40A8-94F7-A97AAB4A6F72}">
  <dimension ref="A1:K53"/>
  <sheetViews>
    <sheetView topLeftCell="B1" workbookViewId="0">
      <selection activeCell="K7" sqref="K7"/>
    </sheetView>
  </sheetViews>
  <sheetFormatPr defaultRowHeight="14.4" x14ac:dyDescent="0.3"/>
  <cols>
    <col min="1" max="1" width="17.109375" customWidth="1"/>
    <col min="2" max="2" width="14.77734375" customWidth="1"/>
    <col min="4" max="4" width="20.44140625" customWidth="1"/>
    <col min="5" max="5" width="13.44140625" customWidth="1"/>
    <col min="6" max="7" width="17.21875" customWidth="1"/>
    <col min="8" max="8" width="25.44140625" style="4" customWidth="1"/>
    <col min="9" max="9" width="24.88671875" customWidth="1"/>
    <col min="11" max="11" width="25.44140625" customWidth="1"/>
  </cols>
  <sheetData>
    <row r="1" spans="1:11" ht="15" thickBot="1" x14ac:dyDescent="0.35">
      <c r="A1" s="11" t="s">
        <v>0</v>
      </c>
      <c r="B1" s="12" t="s">
        <v>1</v>
      </c>
      <c r="C1" s="12" t="s">
        <v>2</v>
      </c>
      <c r="D1" s="12" t="s">
        <v>3</v>
      </c>
      <c r="E1" s="12" t="s">
        <v>4</v>
      </c>
      <c r="F1" s="12" t="s">
        <v>5</v>
      </c>
      <c r="G1" s="12" t="s">
        <v>6</v>
      </c>
      <c r="H1" s="13" t="s">
        <v>7</v>
      </c>
      <c r="I1" s="12" t="s">
        <v>52</v>
      </c>
    </row>
    <row r="2" spans="1:11" ht="15.6" thickTop="1" thickBot="1" x14ac:dyDescent="0.35">
      <c r="A2" s="9" t="s">
        <v>8</v>
      </c>
      <c r="B2" s="1" t="s">
        <v>9</v>
      </c>
      <c r="C2" s="1" t="s">
        <v>10</v>
      </c>
      <c r="D2" s="1" t="s">
        <v>11</v>
      </c>
      <c r="E2" s="5">
        <v>84</v>
      </c>
      <c r="F2" s="3">
        <v>6000</v>
      </c>
      <c r="G2" s="6">
        <v>4000</v>
      </c>
      <c r="H2" s="6">
        <v>504000</v>
      </c>
      <c r="I2" s="2">
        <f xml:space="preserve"> H2-(E2*G2)</f>
        <v>168000</v>
      </c>
      <c r="K2" t="s">
        <v>53</v>
      </c>
    </row>
    <row r="3" spans="1:11" ht="15" thickBot="1" x14ac:dyDescent="0.35">
      <c r="A3" s="10">
        <v>44386</v>
      </c>
      <c r="B3" s="1" t="s">
        <v>12</v>
      </c>
      <c r="C3" s="1" t="s">
        <v>13</v>
      </c>
      <c r="D3" s="1" t="s">
        <v>14</v>
      </c>
      <c r="E3" s="1">
        <v>128</v>
      </c>
      <c r="F3" s="3">
        <v>3500</v>
      </c>
      <c r="G3" s="3">
        <v>2500</v>
      </c>
      <c r="H3" s="3">
        <v>448000</v>
      </c>
      <c r="I3" s="2">
        <f t="shared" ref="I3:I51" si="0" xml:space="preserve"> H3-(E3*G3)</f>
        <v>128000</v>
      </c>
      <c r="K3" s="7">
        <f>SUM(H2:H51)</f>
        <v>12944500</v>
      </c>
    </row>
    <row r="4" spans="1:11" ht="15" thickBot="1" x14ac:dyDescent="0.35">
      <c r="A4" s="10">
        <v>44257</v>
      </c>
      <c r="B4" s="1" t="s">
        <v>15</v>
      </c>
      <c r="C4" s="1" t="s">
        <v>16</v>
      </c>
      <c r="D4" s="1" t="s">
        <v>17</v>
      </c>
      <c r="E4" s="1">
        <v>136</v>
      </c>
      <c r="F4" s="3">
        <v>1200</v>
      </c>
      <c r="G4" s="3">
        <v>800</v>
      </c>
      <c r="H4" s="3">
        <v>163200</v>
      </c>
      <c r="I4" s="2">
        <f t="shared" si="0"/>
        <v>54400</v>
      </c>
      <c r="K4" t="s">
        <v>54</v>
      </c>
    </row>
    <row r="5" spans="1:11" ht="15" thickBot="1" x14ac:dyDescent="0.35">
      <c r="A5" s="10">
        <v>44144</v>
      </c>
      <c r="B5" s="1" t="s">
        <v>18</v>
      </c>
      <c r="C5" s="1" t="s">
        <v>19</v>
      </c>
      <c r="D5" s="1" t="s">
        <v>20</v>
      </c>
      <c r="E5" s="1">
        <v>91</v>
      </c>
      <c r="F5" s="3">
        <v>1000</v>
      </c>
      <c r="G5" s="3">
        <v>700</v>
      </c>
      <c r="H5" s="3">
        <v>91000</v>
      </c>
      <c r="I5" s="2">
        <f t="shared" si="0"/>
        <v>27300</v>
      </c>
      <c r="K5" s="18">
        <f>SUM(E2:E51)</f>
        <v>4705</v>
      </c>
    </row>
    <row r="6" spans="1:11" ht="15" thickBot="1" x14ac:dyDescent="0.35">
      <c r="A6" s="9" t="s">
        <v>21</v>
      </c>
      <c r="B6" s="1" t="s">
        <v>22</v>
      </c>
      <c r="C6" s="1" t="s">
        <v>10</v>
      </c>
      <c r="D6" s="1" t="s">
        <v>23</v>
      </c>
      <c r="E6" s="1">
        <v>110</v>
      </c>
      <c r="F6" s="3">
        <v>4000</v>
      </c>
      <c r="G6" s="3">
        <v>3000</v>
      </c>
      <c r="H6" s="3">
        <v>440000</v>
      </c>
      <c r="I6" s="2">
        <f t="shared" si="0"/>
        <v>110000</v>
      </c>
      <c r="K6" t="s">
        <v>55</v>
      </c>
    </row>
    <row r="7" spans="1:11" ht="15" thickBot="1" x14ac:dyDescent="0.35">
      <c r="A7" s="10">
        <v>43840</v>
      </c>
      <c r="B7" s="1" t="s">
        <v>24</v>
      </c>
      <c r="C7" s="1" t="s">
        <v>13</v>
      </c>
      <c r="D7" s="1" t="s">
        <v>17</v>
      </c>
      <c r="E7" s="1">
        <v>51</v>
      </c>
      <c r="F7" s="3">
        <v>1200</v>
      </c>
      <c r="G7" s="3">
        <v>800</v>
      </c>
      <c r="H7" s="3">
        <v>61200</v>
      </c>
      <c r="I7" s="2">
        <f t="shared" si="0"/>
        <v>20400</v>
      </c>
      <c r="K7" s="18">
        <f>SUM(I2:I79)</f>
        <v>3834400</v>
      </c>
    </row>
    <row r="8" spans="1:11" ht="15" thickBot="1" x14ac:dyDescent="0.35">
      <c r="A8" s="10">
        <v>44324</v>
      </c>
      <c r="B8" s="1" t="s">
        <v>25</v>
      </c>
      <c r="C8" s="1" t="s">
        <v>19</v>
      </c>
      <c r="D8" s="1" t="s">
        <v>20</v>
      </c>
      <c r="E8" s="1">
        <v>78</v>
      </c>
      <c r="F8" s="3">
        <v>1000</v>
      </c>
      <c r="G8" s="3">
        <v>700</v>
      </c>
      <c r="H8" s="3">
        <v>78000</v>
      </c>
      <c r="I8" s="2">
        <f t="shared" si="0"/>
        <v>23400</v>
      </c>
      <c r="K8" t="s">
        <v>56</v>
      </c>
    </row>
    <row r="9" spans="1:11" ht="15" thickBot="1" x14ac:dyDescent="0.35">
      <c r="A9" s="10">
        <v>43993</v>
      </c>
      <c r="B9" s="1" t="s">
        <v>26</v>
      </c>
      <c r="C9" s="1" t="s">
        <v>16</v>
      </c>
      <c r="D9" s="1" t="s">
        <v>11</v>
      </c>
      <c r="E9" s="1">
        <v>146</v>
      </c>
      <c r="F9" s="3">
        <v>6000</v>
      </c>
      <c r="G9" s="3">
        <v>4000</v>
      </c>
      <c r="H9" s="3">
        <v>876000</v>
      </c>
      <c r="I9" s="2">
        <f t="shared" si="0"/>
        <v>292000</v>
      </c>
      <c r="K9" s="8">
        <f>AVERAGE(H2:H51)</f>
        <v>258890</v>
      </c>
    </row>
    <row r="10" spans="1:11" ht="15" thickBot="1" x14ac:dyDescent="0.35">
      <c r="A10" s="9" t="s">
        <v>27</v>
      </c>
      <c r="B10" s="1" t="s">
        <v>28</v>
      </c>
      <c r="C10" s="1" t="s">
        <v>10</v>
      </c>
      <c r="D10" s="1" t="s">
        <v>29</v>
      </c>
      <c r="E10" s="1">
        <v>101</v>
      </c>
      <c r="F10" s="3">
        <v>600</v>
      </c>
      <c r="G10" s="3">
        <v>400</v>
      </c>
      <c r="H10" s="3">
        <v>60600</v>
      </c>
      <c r="I10" s="2">
        <f t="shared" si="0"/>
        <v>20200</v>
      </c>
    </row>
    <row r="11" spans="1:11" ht="15" thickBot="1" x14ac:dyDescent="0.35">
      <c r="A11" s="10">
        <v>44264</v>
      </c>
      <c r="B11" s="1" t="s">
        <v>30</v>
      </c>
      <c r="C11" s="1" t="s">
        <v>16</v>
      </c>
      <c r="D11" s="1" t="s">
        <v>11</v>
      </c>
      <c r="E11" s="1">
        <v>52</v>
      </c>
      <c r="F11" s="3">
        <v>6000</v>
      </c>
      <c r="G11" s="3">
        <v>4000</v>
      </c>
      <c r="H11" s="3">
        <v>312000</v>
      </c>
      <c r="I11" s="2">
        <f t="shared" si="0"/>
        <v>104000</v>
      </c>
    </row>
    <row r="12" spans="1:11" ht="15" thickBot="1" x14ac:dyDescent="0.35">
      <c r="A12" s="9" t="s">
        <v>31</v>
      </c>
      <c r="B12" s="1" t="s">
        <v>30</v>
      </c>
      <c r="C12" s="1" t="s">
        <v>13</v>
      </c>
      <c r="D12" s="1" t="s">
        <v>17</v>
      </c>
      <c r="E12" s="1">
        <v>55</v>
      </c>
      <c r="F12" s="3">
        <v>1200</v>
      </c>
      <c r="G12" s="3">
        <v>800</v>
      </c>
      <c r="H12" s="3">
        <v>66000</v>
      </c>
      <c r="I12" s="2">
        <f t="shared" si="0"/>
        <v>22000</v>
      </c>
    </row>
    <row r="13" spans="1:11" ht="15" thickBot="1" x14ac:dyDescent="0.35">
      <c r="A13" s="10">
        <v>44113</v>
      </c>
      <c r="B13" s="1" t="s">
        <v>30</v>
      </c>
      <c r="C13" s="1" t="s">
        <v>16</v>
      </c>
      <c r="D13" s="1" t="s">
        <v>20</v>
      </c>
      <c r="E13" s="1">
        <v>137</v>
      </c>
      <c r="F13" s="3">
        <v>1000</v>
      </c>
      <c r="G13" s="3">
        <v>700</v>
      </c>
      <c r="H13" s="3">
        <v>137000</v>
      </c>
      <c r="I13" s="2">
        <f t="shared" si="0"/>
        <v>41100</v>
      </c>
    </row>
    <row r="14" spans="1:11" ht="15" thickBot="1" x14ac:dyDescent="0.35">
      <c r="A14" s="9" t="s">
        <v>32</v>
      </c>
      <c r="B14" s="1" t="s">
        <v>26</v>
      </c>
      <c r="C14" s="1" t="s">
        <v>16</v>
      </c>
      <c r="D14" s="1" t="s">
        <v>14</v>
      </c>
      <c r="E14" s="1">
        <v>96</v>
      </c>
      <c r="F14" s="3">
        <v>3500</v>
      </c>
      <c r="G14" s="3">
        <v>2500</v>
      </c>
      <c r="H14" s="3">
        <v>336000</v>
      </c>
      <c r="I14" s="2">
        <f t="shared" si="0"/>
        <v>96000</v>
      </c>
    </row>
    <row r="15" spans="1:11" ht="15" thickBot="1" x14ac:dyDescent="0.35">
      <c r="A15" s="10">
        <v>44084</v>
      </c>
      <c r="B15" s="1" t="s">
        <v>28</v>
      </c>
      <c r="C15" s="1" t="s">
        <v>13</v>
      </c>
      <c r="D15" s="1" t="s">
        <v>23</v>
      </c>
      <c r="E15" s="1">
        <v>52</v>
      </c>
      <c r="F15" s="3">
        <v>4000</v>
      </c>
      <c r="G15" s="3">
        <v>3000</v>
      </c>
      <c r="H15" s="3">
        <v>208000</v>
      </c>
      <c r="I15" s="2">
        <f t="shared" si="0"/>
        <v>52000</v>
      </c>
    </row>
    <row r="16" spans="1:11" ht="15" thickBot="1" x14ac:dyDescent="0.35">
      <c r="A16" s="10">
        <v>44351</v>
      </c>
      <c r="B16" s="1" t="s">
        <v>18</v>
      </c>
      <c r="C16" s="1" t="s">
        <v>10</v>
      </c>
      <c r="D16" s="1" t="s">
        <v>14</v>
      </c>
      <c r="E16" s="1">
        <v>76</v>
      </c>
      <c r="F16" s="3">
        <v>3500</v>
      </c>
      <c r="G16" s="3">
        <v>2500</v>
      </c>
      <c r="H16" s="3">
        <v>266000</v>
      </c>
      <c r="I16" s="2">
        <f t="shared" si="0"/>
        <v>76000</v>
      </c>
    </row>
    <row r="17" spans="1:9" ht="15" thickBot="1" x14ac:dyDescent="0.35">
      <c r="A17" s="9" t="s">
        <v>33</v>
      </c>
      <c r="B17" s="1" t="s">
        <v>12</v>
      </c>
      <c r="C17" s="1" t="s">
        <v>19</v>
      </c>
      <c r="D17" s="1" t="s">
        <v>23</v>
      </c>
      <c r="E17" s="1">
        <v>145</v>
      </c>
      <c r="F17" s="3">
        <v>4000</v>
      </c>
      <c r="G17" s="3">
        <v>3000</v>
      </c>
      <c r="H17" s="3">
        <v>580000</v>
      </c>
      <c r="I17" s="2">
        <f t="shared" si="0"/>
        <v>145000</v>
      </c>
    </row>
    <row r="18" spans="1:9" ht="15" thickBot="1" x14ac:dyDescent="0.35">
      <c r="A18" s="10">
        <v>44083</v>
      </c>
      <c r="B18" s="1" t="s">
        <v>9</v>
      </c>
      <c r="C18" s="1" t="s">
        <v>16</v>
      </c>
      <c r="D18" s="1" t="s">
        <v>29</v>
      </c>
      <c r="E18" s="1">
        <v>83</v>
      </c>
      <c r="F18" s="3">
        <v>600</v>
      </c>
      <c r="G18" s="3">
        <v>400</v>
      </c>
      <c r="H18" s="3">
        <v>49800</v>
      </c>
      <c r="I18" s="2">
        <f t="shared" si="0"/>
        <v>16600</v>
      </c>
    </row>
    <row r="19" spans="1:9" ht="15" thickBot="1" x14ac:dyDescent="0.35">
      <c r="A19" s="9" t="s">
        <v>34</v>
      </c>
      <c r="B19" s="1" t="s">
        <v>22</v>
      </c>
      <c r="C19" s="1" t="s">
        <v>16</v>
      </c>
      <c r="D19" s="1" t="s">
        <v>20</v>
      </c>
      <c r="E19" s="1">
        <v>91</v>
      </c>
      <c r="F19" s="3">
        <v>1000</v>
      </c>
      <c r="G19" s="3">
        <v>700</v>
      </c>
      <c r="H19" s="3">
        <v>91000</v>
      </c>
      <c r="I19" s="2">
        <f t="shared" si="0"/>
        <v>27300</v>
      </c>
    </row>
    <row r="20" spans="1:9" ht="15" thickBot="1" x14ac:dyDescent="0.35">
      <c r="A20" s="9" t="s">
        <v>35</v>
      </c>
      <c r="B20" s="1" t="s">
        <v>24</v>
      </c>
      <c r="C20" s="1" t="s">
        <v>10</v>
      </c>
      <c r="D20" s="1" t="s">
        <v>36</v>
      </c>
      <c r="E20" s="1">
        <v>108</v>
      </c>
      <c r="F20" s="3">
        <v>10000</v>
      </c>
      <c r="G20" s="3">
        <v>7000</v>
      </c>
      <c r="H20" s="3">
        <v>1080000</v>
      </c>
      <c r="I20" s="2">
        <f t="shared" si="0"/>
        <v>324000</v>
      </c>
    </row>
    <row r="21" spans="1:9" ht="15" thickBot="1" x14ac:dyDescent="0.35">
      <c r="A21" s="10">
        <v>44381</v>
      </c>
      <c r="B21" s="1" t="s">
        <v>15</v>
      </c>
      <c r="C21" s="1" t="s">
        <v>19</v>
      </c>
      <c r="D21" s="1" t="s">
        <v>23</v>
      </c>
      <c r="E21" s="1">
        <v>144</v>
      </c>
      <c r="F21" s="3">
        <v>4000</v>
      </c>
      <c r="G21" s="3">
        <v>3000</v>
      </c>
      <c r="H21" s="3">
        <v>576000</v>
      </c>
      <c r="I21" s="2">
        <f xml:space="preserve"> H21-(E21*G21)</f>
        <v>144000</v>
      </c>
    </row>
    <row r="22" spans="1:9" ht="15" thickBot="1" x14ac:dyDescent="0.35">
      <c r="A22" s="10">
        <v>44049</v>
      </c>
      <c r="B22" s="1" t="s">
        <v>22</v>
      </c>
      <c r="C22" s="1" t="s">
        <v>16</v>
      </c>
      <c r="D22" s="1" t="s">
        <v>29</v>
      </c>
      <c r="E22" s="1">
        <v>92</v>
      </c>
      <c r="F22" s="3">
        <v>600</v>
      </c>
      <c r="G22" s="3">
        <v>400</v>
      </c>
      <c r="H22" s="3">
        <v>55200</v>
      </c>
      <c r="I22" s="2">
        <f t="shared" si="0"/>
        <v>18400</v>
      </c>
    </row>
    <row r="23" spans="1:9" ht="15" thickBot="1" x14ac:dyDescent="0.35">
      <c r="A23" s="9" t="s">
        <v>37</v>
      </c>
      <c r="B23" s="1" t="s">
        <v>26</v>
      </c>
      <c r="C23" s="1" t="s">
        <v>10</v>
      </c>
      <c r="D23" s="1" t="s">
        <v>11</v>
      </c>
      <c r="E23" s="1">
        <v>71</v>
      </c>
      <c r="F23" s="3">
        <v>6000</v>
      </c>
      <c r="G23" s="3">
        <v>4000</v>
      </c>
      <c r="H23" s="3">
        <v>426000</v>
      </c>
      <c r="I23" s="2">
        <f t="shared" si="0"/>
        <v>142000</v>
      </c>
    </row>
    <row r="24" spans="1:9" ht="15" thickBot="1" x14ac:dyDescent="0.35">
      <c r="A24" s="10">
        <v>44477</v>
      </c>
      <c r="B24" s="1" t="s">
        <v>9</v>
      </c>
      <c r="C24" s="1" t="s">
        <v>13</v>
      </c>
      <c r="D24" s="1" t="s">
        <v>29</v>
      </c>
      <c r="E24" s="1">
        <v>103</v>
      </c>
      <c r="F24" s="3">
        <v>600</v>
      </c>
      <c r="G24" s="3">
        <v>400</v>
      </c>
      <c r="H24" s="3">
        <v>61800</v>
      </c>
      <c r="I24" s="2">
        <f t="shared" si="0"/>
        <v>20600</v>
      </c>
    </row>
    <row r="25" spans="1:9" ht="15" thickBot="1" x14ac:dyDescent="0.35">
      <c r="A25" s="10">
        <v>44239</v>
      </c>
      <c r="B25" s="1" t="s">
        <v>30</v>
      </c>
      <c r="C25" s="1" t="s">
        <v>19</v>
      </c>
      <c r="D25" s="1" t="s">
        <v>20</v>
      </c>
      <c r="E25" s="1">
        <v>55</v>
      </c>
      <c r="F25" s="3">
        <v>1000</v>
      </c>
      <c r="G25" s="3">
        <v>700</v>
      </c>
      <c r="H25" s="3">
        <v>55000</v>
      </c>
      <c r="I25" s="2">
        <f t="shared" si="0"/>
        <v>16500</v>
      </c>
    </row>
    <row r="26" spans="1:9" ht="15" thickBot="1" x14ac:dyDescent="0.35">
      <c r="A26" s="9" t="s">
        <v>38</v>
      </c>
      <c r="B26" s="1" t="s">
        <v>24</v>
      </c>
      <c r="C26" s="1" t="s">
        <v>13</v>
      </c>
      <c r="D26" s="1" t="s">
        <v>23</v>
      </c>
      <c r="E26" s="1">
        <v>93</v>
      </c>
      <c r="F26" s="3">
        <v>4000</v>
      </c>
      <c r="G26" s="3">
        <v>3000</v>
      </c>
      <c r="H26" s="3">
        <v>372000</v>
      </c>
      <c r="I26" s="2">
        <f t="shared" si="0"/>
        <v>93000</v>
      </c>
    </row>
    <row r="27" spans="1:9" ht="15" thickBot="1" x14ac:dyDescent="0.35">
      <c r="A27" s="9" t="s">
        <v>39</v>
      </c>
      <c r="B27" s="1" t="s">
        <v>15</v>
      </c>
      <c r="C27" s="1" t="s">
        <v>16</v>
      </c>
      <c r="D27" s="1" t="s">
        <v>29</v>
      </c>
      <c r="E27" s="1">
        <v>143</v>
      </c>
      <c r="F27" s="3">
        <v>600</v>
      </c>
      <c r="G27" s="3">
        <v>400</v>
      </c>
      <c r="H27" s="3">
        <v>85800</v>
      </c>
      <c r="I27" s="2">
        <f t="shared" si="0"/>
        <v>28600</v>
      </c>
    </row>
    <row r="28" spans="1:9" ht="15" thickBot="1" x14ac:dyDescent="0.35">
      <c r="A28" s="9" t="s">
        <v>40</v>
      </c>
      <c r="B28" s="1" t="s">
        <v>25</v>
      </c>
      <c r="C28" s="1" t="s">
        <v>10</v>
      </c>
      <c r="D28" s="1" t="s">
        <v>14</v>
      </c>
      <c r="E28" s="1">
        <v>143</v>
      </c>
      <c r="F28" s="3">
        <v>3500</v>
      </c>
      <c r="G28" s="3">
        <v>2500</v>
      </c>
      <c r="H28" s="3">
        <v>500500</v>
      </c>
      <c r="I28" s="2">
        <f t="shared" si="0"/>
        <v>143000</v>
      </c>
    </row>
    <row r="29" spans="1:9" ht="15" thickBot="1" x14ac:dyDescent="0.35">
      <c r="A29" s="9" t="s">
        <v>41</v>
      </c>
      <c r="B29" s="1" t="s">
        <v>28</v>
      </c>
      <c r="C29" s="1" t="s">
        <v>19</v>
      </c>
      <c r="D29" s="1" t="s">
        <v>29</v>
      </c>
      <c r="E29" s="1">
        <v>99</v>
      </c>
      <c r="F29" s="3">
        <v>600</v>
      </c>
      <c r="G29" s="3">
        <v>400</v>
      </c>
      <c r="H29" s="3">
        <v>59400</v>
      </c>
      <c r="I29" s="2">
        <f xml:space="preserve"> H29-(E29*G29)</f>
        <v>19800</v>
      </c>
    </row>
    <row r="30" spans="1:9" ht="15" thickBot="1" x14ac:dyDescent="0.35">
      <c r="A30" s="9" t="s">
        <v>42</v>
      </c>
      <c r="B30" s="1" t="s">
        <v>18</v>
      </c>
      <c r="C30" s="1" t="s">
        <v>10</v>
      </c>
      <c r="D30" s="1" t="s">
        <v>20</v>
      </c>
      <c r="E30" s="1">
        <v>120</v>
      </c>
      <c r="F30" s="3">
        <v>1000</v>
      </c>
      <c r="G30" s="3">
        <v>700</v>
      </c>
      <c r="H30" s="3">
        <v>120000</v>
      </c>
      <c r="I30" s="2">
        <f t="shared" si="0"/>
        <v>36000</v>
      </c>
    </row>
    <row r="31" spans="1:9" ht="15" thickBot="1" x14ac:dyDescent="0.35">
      <c r="A31" s="9" t="s">
        <v>43</v>
      </c>
      <c r="B31" s="1" t="s">
        <v>12</v>
      </c>
      <c r="C31" s="1" t="s">
        <v>16</v>
      </c>
      <c r="D31" s="1" t="s">
        <v>14</v>
      </c>
      <c r="E31" s="1">
        <v>66</v>
      </c>
      <c r="F31" s="3">
        <v>3500</v>
      </c>
      <c r="G31" s="3">
        <v>2500</v>
      </c>
      <c r="H31" s="3">
        <v>231000</v>
      </c>
      <c r="I31" s="2">
        <f t="shared" si="0"/>
        <v>66000</v>
      </c>
    </row>
    <row r="32" spans="1:9" ht="15" thickBot="1" x14ac:dyDescent="0.35">
      <c r="A32" s="9" t="s">
        <v>44</v>
      </c>
      <c r="B32" s="1" t="s">
        <v>28</v>
      </c>
      <c r="C32" s="1" t="s">
        <v>19</v>
      </c>
      <c r="D32" s="1" t="s">
        <v>17</v>
      </c>
      <c r="E32" s="1">
        <v>88</v>
      </c>
      <c r="F32" s="3">
        <v>1200</v>
      </c>
      <c r="G32" s="3">
        <v>800</v>
      </c>
      <c r="H32" s="3">
        <v>105600</v>
      </c>
      <c r="I32" s="2">
        <f t="shared" si="0"/>
        <v>35200</v>
      </c>
    </row>
    <row r="33" spans="1:9" ht="15" thickBot="1" x14ac:dyDescent="0.35">
      <c r="A33" s="9" t="s">
        <v>45</v>
      </c>
      <c r="B33" s="1" t="s">
        <v>18</v>
      </c>
      <c r="C33" s="1" t="s">
        <v>13</v>
      </c>
      <c r="D33" s="1" t="s">
        <v>36</v>
      </c>
      <c r="E33" s="1">
        <v>127</v>
      </c>
      <c r="F33" s="3">
        <v>10000</v>
      </c>
      <c r="G33" s="3">
        <v>7000</v>
      </c>
      <c r="H33" s="3">
        <v>1270000</v>
      </c>
      <c r="I33" s="2">
        <f t="shared" si="0"/>
        <v>381000</v>
      </c>
    </row>
    <row r="34" spans="1:9" ht="15" thickBot="1" x14ac:dyDescent="0.35">
      <c r="A34" s="9" t="s">
        <v>46</v>
      </c>
      <c r="B34" s="1" t="s">
        <v>22</v>
      </c>
      <c r="C34" s="1" t="s">
        <v>10</v>
      </c>
      <c r="D34" s="1" t="s">
        <v>23</v>
      </c>
      <c r="E34" s="1">
        <v>67</v>
      </c>
      <c r="F34" s="3">
        <v>4000</v>
      </c>
      <c r="G34" s="3">
        <v>3000</v>
      </c>
      <c r="H34" s="3">
        <v>268000</v>
      </c>
      <c r="I34" s="2">
        <f t="shared" si="0"/>
        <v>67000</v>
      </c>
    </row>
    <row r="35" spans="1:9" ht="15" thickBot="1" x14ac:dyDescent="0.35">
      <c r="A35" s="10">
        <v>44359</v>
      </c>
      <c r="B35" s="1" t="s">
        <v>12</v>
      </c>
      <c r="C35" s="1" t="s">
        <v>13</v>
      </c>
      <c r="D35" s="1" t="s">
        <v>17</v>
      </c>
      <c r="E35" s="1">
        <v>67</v>
      </c>
      <c r="F35" s="3">
        <v>1200</v>
      </c>
      <c r="G35" s="3">
        <v>800</v>
      </c>
      <c r="H35" s="3">
        <v>80400</v>
      </c>
      <c r="I35" s="2">
        <f t="shared" si="0"/>
        <v>26800</v>
      </c>
    </row>
    <row r="36" spans="1:9" ht="15" thickBot="1" x14ac:dyDescent="0.35">
      <c r="A36" s="9" t="s">
        <v>47</v>
      </c>
      <c r="B36" s="1" t="s">
        <v>30</v>
      </c>
      <c r="C36" s="1" t="s">
        <v>16</v>
      </c>
      <c r="D36" s="1" t="s">
        <v>20</v>
      </c>
      <c r="E36" s="1">
        <v>149</v>
      </c>
      <c r="F36" s="3">
        <v>1000</v>
      </c>
      <c r="G36" s="3">
        <v>700</v>
      </c>
      <c r="H36" s="3">
        <v>149000</v>
      </c>
      <c r="I36" s="2">
        <f t="shared" si="0"/>
        <v>44700</v>
      </c>
    </row>
    <row r="37" spans="1:9" ht="15" thickBot="1" x14ac:dyDescent="0.35">
      <c r="A37" s="10">
        <v>44203</v>
      </c>
      <c r="B37" s="1" t="s">
        <v>22</v>
      </c>
      <c r="C37" s="1" t="s">
        <v>19</v>
      </c>
      <c r="D37" s="1" t="s">
        <v>29</v>
      </c>
      <c r="E37" s="1">
        <v>104</v>
      </c>
      <c r="F37" s="3">
        <v>600</v>
      </c>
      <c r="G37" s="3">
        <v>400</v>
      </c>
      <c r="H37" s="3">
        <v>62400</v>
      </c>
      <c r="I37" s="2">
        <f t="shared" si="0"/>
        <v>20800</v>
      </c>
    </row>
    <row r="38" spans="1:9" ht="15" thickBot="1" x14ac:dyDescent="0.35">
      <c r="A38" s="9" t="s">
        <v>32</v>
      </c>
      <c r="B38" s="1" t="s">
        <v>26</v>
      </c>
      <c r="C38" s="1" t="s">
        <v>10</v>
      </c>
      <c r="D38" s="1" t="s">
        <v>29</v>
      </c>
      <c r="E38" s="1">
        <v>57</v>
      </c>
      <c r="F38" s="3">
        <v>600</v>
      </c>
      <c r="G38" s="3">
        <v>400</v>
      </c>
      <c r="H38" s="3">
        <v>34200</v>
      </c>
      <c r="I38" s="2">
        <f t="shared" si="0"/>
        <v>11400</v>
      </c>
    </row>
    <row r="39" spans="1:9" ht="15" thickBot="1" x14ac:dyDescent="0.35">
      <c r="A39" s="10">
        <v>43961</v>
      </c>
      <c r="B39" s="1" t="s">
        <v>15</v>
      </c>
      <c r="C39" s="1" t="s">
        <v>13</v>
      </c>
      <c r="D39" s="1" t="s">
        <v>29</v>
      </c>
      <c r="E39" s="1">
        <v>90</v>
      </c>
      <c r="F39" s="3">
        <v>600</v>
      </c>
      <c r="G39" s="3">
        <v>400</v>
      </c>
      <c r="H39" s="3">
        <v>54000</v>
      </c>
      <c r="I39" s="2">
        <f xml:space="preserve"> H39-(E39*G39)</f>
        <v>18000</v>
      </c>
    </row>
    <row r="40" spans="1:9" ht="15" thickBot="1" x14ac:dyDescent="0.35">
      <c r="A40" s="10">
        <v>43870</v>
      </c>
      <c r="B40" s="1" t="s">
        <v>24</v>
      </c>
      <c r="C40" s="1" t="s">
        <v>16</v>
      </c>
      <c r="D40" s="1" t="s">
        <v>29</v>
      </c>
      <c r="E40" s="1">
        <v>67</v>
      </c>
      <c r="F40" s="3">
        <v>600</v>
      </c>
      <c r="G40" s="3">
        <v>400</v>
      </c>
      <c r="H40" s="3">
        <v>40200</v>
      </c>
      <c r="I40" s="2">
        <f t="shared" si="0"/>
        <v>13400</v>
      </c>
    </row>
    <row r="41" spans="1:9" ht="15" thickBot="1" x14ac:dyDescent="0.35">
      <c r="A41" s="10">
        <v>44236</v>
      </c>
      <c r="B41" s="1" t="s">
        <v>9</v>
      </c>
      <c r="C41" s="1" t="s">
        <v>19</v>
      </c>
      <c r="D41" s="1" t="s">
        <v>23</v>
      </c>
      <c r="E41" s="1">
        <v>127</v>
      </c>
      <c r="F41" s="3">
        <v>4000</v>
      </c>
      <c r="G41" s="3">
        <v>3000</v>
      </c>
      <c r="H41" s="3">
        <v>508000</v>
      </c>
      <c r="I41" s="2">
        <f t="shared" si="0"/>
        <v>127000</v>
      </c>
    </row>
    <row r="42" spans="1:9" ht="15" thickBot="1" x14ac:dyDescent="0.35">
      <c r="A42" s="9" t="s">
        <v>48</v>
      </c>
      <c r="B42" s="1" t="s">
        <v>24</v>
      </c>
      <c r="C42" s="1" t="s">
        <v>10</v>
      </c>
      <c r="D42" s="1" t="s">
        <v>20</v>
      </c>
      <c r="E42" s="1">
        <v>108</v>
      </c>
      <c r="F42" s="3">
        <v>1000</v>
      </c>
      <c r="G42" s="3">
        <v>700</v>
      </c>
      <c r="H42" s="3">
        <v>108000</v>
      </c>
      <c r="I42" s="2">
        <f t="shared" si="0"/>
        <v>32400</v>
      </c>
    </row>
    <row r="43" spans="1:9" ht="15" thickBot="1" x14ac:dyDescent="0.35">
      <c r="A43" s="10">
        <v>44352</v>
      </c>
      <c r="B43" s="1" t="s">
        <v>15</v>
      </c>
      <c r="C43" s="1" t="s">
        <v>13</v>
      </c>
      <c r="D43" s="1" t="s">
        <v>14</v>
      </c>
      <c r="E43" s="1">
        <v>66</v>
      </c>
      <c r="F43" s="3">
        <v>3500</v>
      </c>
      <c r="G43" s="3">
        <v>2500</v>
      </c>
      <c r="H43" s="3">
        <v>231000</v>
      </c>
      <c r="I43" s="2">
        <f t="shared" si="0"/>
        <v>66000</v>
      </c>
    </row>
    <row r="44" spans="1:9" ht="15" thickBot="1" x14ac:dyDescent="0.35">
      <c r="A44" s="9" t="s">
        <v>49</v>
      </c>
      <c r="B44" s="1" t="s">
        <v>9</v>
      </c>
      <c r="C44" s="1" t="s">
        <v>19</v>
      </c>
      <c r="D44" s="1" t="s">
        <v>11</v>
      </c>
      <c r="E44" s="1">
        <v>78</v>
      </c>
      <c r="F44" s="3">
        <v>6000</v>
      </c>
      <c r="G44" s="3">
        <v>4000</v>
      </c>
      <c r="H44" s="3">
        <v>468000</v>
      </c>
      <c r="I44" s="2">
        <f t="shared" si="0"/>
        <v>156000</v>
      </c>
    </row>
    <row r="45" spans="1:9" ht="15" thickBot="1" x14ac:dyDescent="0.35">
      <c r="A45" s="9" t="s">
        <v>35</v>
      </c>
      <c r="B45" s="1" t="s">
        <v>26</v>
      </c>
      <c r="C45" s="1" t="s">
        <v>16</v>
      </c>
      <c r="D45" s="1" t="s">
        <v>20</v>
      </c>
      <c r="E45" s="1">
        <v>69</v>
      </c>
      <c r="F45" s="3">
        <v>1000</v>
      </c>
      <c r="G45" s="3">
        <v>700</v>
      </c>
      <c r="H45" s="3">
        <v>69000</v>
      </c>
      <c r="I45" s="2">
        <f t="shared" si="0"/>
        <v>20700</v>
      </c>
    </row>
    <row r="46" spans="1:9" ht="15" thickBot="1" x14ac:dyDescent="0.35">
      <c r="A46" s="10">
        <v>44318</v>
      </c>
      <c r="B46" s="1" t="s">
        <v>22</v>
      </c>
      <c r="C46" s="1" t="s">
        <v>10</v>
      </c>
      <c r="D46" s="1" t="s">
        <v>17</v>
      </c>
      <c r="E46" s="1">
        <v>59</v>
      </c>
      <c r="F46" s="3">
        <v>1200</v>
      </c>
      <c r="G46" s="3">
        <v>800</v>
      </c>
      <c r="H46" s="3">
        <v>70800</v>
      </c>
      <c r="I46" s="2">
        <f t="shared" si="0"/>
        <v>23600</v>
      </c>
    </row>
    <row r="47" spans="1:9" ht="15" thickBot="1" x14ac:dyDescent="0.35">
      <c r="A47" s="9" t="s">
        <v>50</v>
      </c>
      <c r="B47" s="1" t="s">
        <v>30</v>
      </c>
      <c r="C47" s="1" t="s">
        <v>16</v>
      </c>
      <c r="D47" s="1" t="s">
        <v>29</v>
      </c>
      <c r="E47" s="1">
        <v>109</v>
      </c>
      <c r="F47" s="3">
        <v>600</v>
      </c>
      <c r="G47" s="3">
        <v>400</v>
      </c>
      <c r="H47" s="3">
        <v>65400</v>
      </c>
      <c r="I47" s="2">
        <f t="shared" si="0"/>
        <v>21800</v>
      </c>
    </row>
    <row r="48" spans="1:9" ht="15" thickBot="1" x14ac:dyDescent="0.35">
      <c r="A48" s="9" t="s">
        <v>51</v>
      </c>
      <c r="B48" s="1" t="s">
        <v>28</v>
      </c>
      <c r="C48" s="1" t="s">
        <v>13</v>
      </c>
      <c r="D48" s="1" t="s">
        <v>23</v>
      </c>
      <c r="E48" s="1">
        <v>61</v>
      </c>
      <c r="F48" s="3">
        <v>4000</v>
      </c>
      <c r="G48" s="3">
        <v>3000</v>
      </c>
      <c r="H48" s="3">
        <v>244000</v>
      </c>
      <c r="I48" s="2">
        <f t="shared" si="0"/>
        <v>61000</v>
      </c>
    </row>
    <row r="49" spans="1:9" ht="15" thickBot="1" x14ac:dyDescent="0.35">
      <c r="A49" s="9" t="s">
        <v>41</v>
      </c>
      <c r="B49" s="1" t="s">
        <v>22</v>
      </c>
      <c r="C49" s="1" t="s">
        <v>19</v>
      </c>
      <c r="D49" s="1" t="s">
        <v>29</v>
      </c>
      <c r="E49" s="1">
        <v>130</v>
      </c>
      <c r="F49" s="3">
        <v>600</v>
      </c>
      <c r="G49" s="3">
        <v>400</v>
      </c>
      <c r="H49" s="3">
        <v>78000</v>
      </c>
      <c r="I49" s="2">
        <f t="shared" si="0"/>
        <v>26000</v>
      </c>
    </row>
    <row r="50" spans="1:9" ht="15" thickBot="1" x14ac:dyDescent="0.35">
      <c r="A50" s="10">
        <v>44238</v>
      </c>
      <c r="B50" s="1" t="s">
        <v>18</v>
      </c>
      <c r="C50" s="1" t="s">
        <v>16</v>
      </c>
      <c r="D50" s="1" t="s">
        <v>14</v>
      </c>
      <c r="E50" s="1">
        <v>60</v>
      </c>
      <c r="F50" s="3">
        <v>3500</v>
      </c>
      <c r="G50" s="3">
        <v>2500</v>
      </c>
      <c r="H50" s="3">
        <v>210000</v>
      </c>
      <c r="I50" s="2">
        <f xml:space="preserve"> H50-(E50*G50)</f>
        <v>60000</v>
      </c>
    </row>
    <row r="51" spans="1:9" ht="15" thickBot="1" x14ac:dyDescent="0.35">
      <c r="A51" s="10">
        <v>44017</v>
      </c>
      <c r="B51" s="1" t="s">
        <v>12</v>
      </c>
      <c r="C51" s="1" t="s">
        <v>13</v>
      </c>
      <c r="D51" s="1" t="s">
        <v>11</v>
      </c>
      <c r="E51" s="1">
        <v>73</v>
      </c>
      <c r="F51" s="3">
        <v>6000</v>
      </c>
      <c r="G51" s="3">
        <v>4000</v>
      </c>
      <c r="H51" s="3">
        <v>438000</v>
      </c>
      <c r="I51" s="2">
        <f t="shared" si="0"/>
        <v>146000</v>
      </c>
    </row>
    <row r="52" spans="1:9" x14ac:dyDescent="0.3">
      <c r="F52" s="4"/>
      <c r="I52" s="2"/>
    </row>
    <row r="53" spans="1:9" x14ac:dyDescent="0.3">
      <c r="F53"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Anandhan R</dc:creator>
  <cp:lastModifiedBy>Anandhan R</cp:lastModifiedBy>
  <dcterms:created xsi:type="dcterms:W3CDTF">2025-12-02T13:34:22Z</dcterms:created>
  <dcterms:modified xsi:type="dcterms:W3CDTF">2025-12-04T07:42:52Z</dcterms:modified>
</cp:coreProperties>
</file>